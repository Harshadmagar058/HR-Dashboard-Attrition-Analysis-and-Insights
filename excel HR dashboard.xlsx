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sai\Downloads\"/>
    </mc:Choice>
  </mc:AlternateContent>
  <xr:revisionPtr revIDLastSave="0" documentId="8_{DC88A7BE-C0B0-4F5C-95E3-EB389CF3D8F0}" xr6:coauthVersionLast="41" xr6:coauthVersionMax="41" xr10:uidLastSave="{00000000-0000-0000-0000-000000000000}"/>
  <bookViews>
    <workbookView xWindow="-120" yWindow="-120" windowWidth="20730" windowHeight="11160" firstSheet="5" activeTab="11" xr2:uid="{00000000-000D-0000-FFFF-FFFF00000000}"/>
  </bookViews>
  <sheets>
    <sheet name="Job by Attrition" sheetId="12" r:id="rId1"/>
    <sheet name="Department wise Attrition" sheetId="13" r:id="rId2"/>
    <sheet name="Sheet1" sheetId="15" r:id="rId3"/>
    <sheet name="marital Attrition" sheetId="16" r:id="rId4"/>
    <sheet name="Data" sheetId="1" r:id="rId5"/>
    <sheet name="KPI" sheetId="7" r:id="rId6"/>
    <sheet name="Rating" sheetId="8" r:id="rId7"/>
    <sheet name="Age Wise Attrition" sheetId="14" r:id="rId8"/>
    <sheet name="Gender" sheetId="9" r:id="rId9"/>
    <sheet name="education by Attrition" sheetId="11" r:id="rId10"/>
    <sheet name="Images" sheetId="2" r:id="rId11"/>
    <sheet name="Project" sheetId="4" r:id="rId12"/>
  </sheets>
  <definedNames>
    <definedName name="_xlchart.v1.0" hidden="1">'Job by Attrition'!$D$4:$D$12</definedName>
    <definedName name="_xlchart.v1.1" hidden="1">'Job by Attrition'!$E$4:$E$12</definedName>
    <definedName name="_xlchart.v1.5" hidden="1">'Job by Attrition'!$D$4:$D$12</definedName>
    <definedName name="_xlchart.v1.6" hidden="1">'Job by Attrition'!$E$4:$E$12</definedName>
    <definedName name="_xlchart.v2.2" hidden="1">'marital Attrition'!$D$4:$D$6</definedName>
    <definedName name="_xlchart.v2.3" hidden="1">'marital Attrition'!$E$3</definedName>
    <definedName name="_xlchart.v2.4" hidden="1">'marital Attrition'!$E$4:$E$6</definedName>
    <definedName name="_xlchart.v2.7" hidden="1">'marital Attrition'!$D$4:$D$6</definedName>
    <definedName name="_xlchart.v2.8" hidden="1">'marital Attrition'!$E$3</definedName>
    <definedName name="_xlchart.v2.9" hidden="1">'marital Attrition'!$E$4:$E$6</definedName>
    <definedName name="Slicer_Department">#N/A</definedName>
    <definedName name="Slicer_Education_Field1">#N/A</definedName>
    <definedName name="Slicer_Gender1">#N/A</definedName>
  </definedNames>
  <calcPr calcId="191029"/>
  <pivotCaches>
    <pivotCache cacheId="0"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 i="16" l="1"/>
  <c r="D5" i="16"/>
  <c r="D4" i="16"/>
  <c r="D6" i="13"/>
  <c r="D5" i="13"/>
  <c r="D4" i="13"/>
  <c r="D12" i="12"/>
  <c r="D11" i="12"/>
  <c r="D10" i="12"/>
  <c r="D9" i="12"/>
  <c r="D8" i="12"/>
  <c r="D7" i="12"/>
  <c r="D6" i="12"/>
  <c r="D5" i="12"/>
  <c r="D4" i="12"/>
  <c r="E6" i="16"/>
  <c r="E4" i="16"/>
  <c r="E5" i="13"/>
  <c r="E12" i="12"/>
  <c r="E10" i="12"/>
  <c r="E8" i="12"/>
  <c r="E6" i="12"/>
  <c r="E4" i="12"/>
  <c r="D8" i="7"/>
  <c r="B6" i="8"/>
  <c r="C8" i="7"/>
  <c r="E5" i="16"/>
  <c r="E6" i="13"/>
  <c r="E4" i="13"/>
  <c r="E11" i="12"/>
  <c r="E9" i="12"/>
  <c r="E7" i="12"/>
  <c r="E5" i="12"/>
  <c r="A8" i="7"/>
  <c r="B9" i="9"/>
  <c r="B8" i="9"/>
  <c r="E8" i="7" l="1"/>
  <c r="F8" i="7"/>
  <c r="B7" i="8"/>
  <c r="C7" i="8" s="1"/>
  <c r="C6" i="8"/>
  <c r="C8" i="9"/>
  <c r="C9" i="9"/>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<sst xmlns="http://schemas.openxmlformats.org/spreadsheetml/2006/main" count="19219" uniqueCount="1569">
  <si>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</si>
  <si>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</si>
  <si>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</si>
  <si>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</si>
  <si>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</si>
  <si>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</si>
  <si>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</si>
  <si>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</si>
  <si>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</si>
  <si>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</si>
  <si>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</si>
  <si>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</si>
  <si>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</si>
  <si>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</si>
  <si>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</si>
  <si>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</si>
  <si>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</si>
  <si>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</si>
  <si>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</si>
  <si>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</si>
  <si>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</si>
  <si>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</si>
  <si>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</si>
  <si>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</si>
  <si>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</si>
  <si>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</si>
  <si>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</si>
  <si>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</si>
  <si>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</si>
  <si>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</si>
  <si>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</si>
  <si>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</si>
  <si>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</si>
  <si>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</si>
  <si>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</si>
  <si>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</si>
  <si>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</si>
  <si>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</si>
  <si>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</si>
  <si>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</si>
  <si>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</si>
  <si>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</si>
  <si>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</si>
  <si>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</si>
  <si>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</si>
  <si>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</si>
  <si>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</si>
  <si>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</si>
  <si>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</si>
  <si>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</si>
  <si>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</si>
  <si>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</si>
  <si>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</si>
  <si>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</si>
  <si>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</si>
  <si>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</si>
  <si>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</si>
  <si>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</si>
  <si>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</si>
  <si>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</si>
  <si>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</si>
  <si>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</si>
  <si>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</si>
  <si>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</si>
  <si>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</si>
  <si>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</si>
  <si>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</si>
  <si>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</si>
  <si>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</si>
  <si>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</si>
  <si>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</si>
  <si>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</si>
  <si>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</si>
  <si>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</si>
  <si>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</si>
  <si>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</si>
  <si>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</si>
  <si>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</si>
  <si>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</si>
  <si>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</si>
  <si>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</si>
  <si>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</si>
  <si>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</si>
  <si>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</si>
  <si>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</si>
  <si>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</si>
  <si>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</si>
  <si>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</si>
  <si>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</si>
  <si>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</si>
  <si>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</si>
  <si>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</si>
  <si>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</si>
  <si>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</si>
  <si>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</si>
  <si>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</si>
  <si>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</si>
  <si>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</si>
  <si>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</si>
  <si>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</si>
  <si>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</si>
  <si>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</si>
  <si>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</si>
  <si>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</si>
  <si>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</si>
  <si>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</si>
  <si>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</si>
  <si>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</si>
  <si>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</si>
  <si>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</si>
  <si>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</si>
  <si>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</si>
  <si>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</si>
  <si>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</si>
  <si>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</si>
  <si>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</si>
  <si>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</si>
  <si>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</si>
  <si>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</si>
  <si>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</si>
  <si>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</si>
  <si>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</si>
  <si>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</si>
  <si>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</si>
  <si>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</si>
  <si>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</si>
  <si>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</si>
  <si>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</si>
  <si>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</si>
  <si>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</si>
  <si>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</si>
  <si>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</si>
  <si>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</si>
  <si>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</si>
  <si>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</si>
  <si>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</si>
  <si>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</si>
  <si>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</si>
  <si>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</si>
  <si>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</si>
  <si>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</si>
  <si>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</si>
  <si>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</si>
  <si>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</si>
  <si>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</si>
  <si>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</si>
  <si>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</si>
  <si>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</si>
  <si>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</si>
  <si>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</si>
  <si>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</si>
  <si>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</si>
  <si>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</si>
  <si>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</si>
  <si>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</si>
  <si>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</si>
  <si>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</si>
  <si>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</si>
  <si>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</si>
  <si>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</si>
  <si>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</si>
  <si>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</si>
  <si>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</si>
  <si>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</si>
  <si>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</si>
  <si>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</si>
  <si>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</si>
  <si>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</si>
  <si>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</si>
  <si>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</si>
  <si>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</si>
  <si>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</si>
  <si>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</si>
  <si>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</si>
  <si>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</si>
  <si>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</si>
  <si>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</si>
  <si>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</si>
  <si>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</si>
  <si>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</si>
  <si>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</si>
  <si>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</si>
  <si>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</si>
  <si>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</si>
  <si>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</si>
  <si>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</si>
  <si>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</si>
  <si>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</si>
  <si>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</si>
  <si>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</si>
  <si>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</si>
  <si>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</si>
  <si>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</si>
  <si>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</si>
  <si>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</si>
  <si>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</si>
  <si>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</si>
  <si>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</si>
  <si>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</si>
  <si>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</si>
  <si>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</si>
  <si>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</si>
  <si>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</si>
  <si>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</si>
  <si>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</si>
  <si>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</si>
  <si>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</si>
  <si>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</si>
  <si>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</si>
  <si>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</si>
  <si>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</si>
  <si>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</si>
  <si>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</si>
  <si>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</si>
  <si>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</si>
  <si>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</si>
  <si>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</si>
  <si>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</si>
  <si>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</si>
  <si>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</si>
  <si>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</si>
  <si>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</si>
  <si>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</si>
  <si>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</si>
  <si>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</si>
  <si>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</si>
  <si>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</si>
  <si>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</si>
  <si>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</si>
  <si>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</si>
  <si>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</si>
  <si>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</si>
  <si>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</si>
  <si>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</si>
  <si>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</si>
  <si>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</si>
  <si>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</si>
  <si>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</si>
  <si>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</si>
  <si>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</si>
  <si>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</si>
  <si>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</si>
  <si>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</si>
  <si>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</si>
  <si>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</si>
  <si>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</si>
  <si>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</si>
  <si>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</si>
  <si>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</si>
  <si>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</si>
  <si>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</si>
  <si>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</si>
  <si>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</si>
  <si>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</si>
  <si>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</si>
  <si>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</si>
  <si>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</si>
  <si>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</si>
  <si>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</si>
  <si>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</si>
  <si>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</si>
  <si>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</si>
  <si>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</si>
  <si>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</si>
  <si>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</si>
  <si>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</si>
  <si>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</si>
  <si>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</si>
  <si>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</si>
  <si>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</si>
  <si>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</si>
  <si>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</si>
  <si>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</si>
  <si>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</si>
  <si>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</si>
  <si>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</si>
  <si>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</si>
  <si>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</si>
  <si>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</si>
  <si>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</si>
  <si>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</si>
  <si>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</si>
  <si>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</si>
  <si>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</si>
  <si>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</si>
  <si>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</si>
  <si>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</si>
  <si>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</si>
  <si>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</si>
  <si>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</si>
  <si>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</si>
  <si>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</si>
  <si>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</si>
  <si>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</si>
  <si>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</si>
  <si>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</si>
  <si>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</si>
  <si>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</si>
  <si>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</si>
  <si>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</si>
  <si>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</si>
  <si>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</si>
  <si>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</si>
  <si>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</si>
  <si>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</si>
  <si>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</si>
  <si>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</si>
  <si>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</si>
  <si>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</si>
  <si>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</si>
  <si>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</si>
  <si>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</si>
  <si>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</si>
  <si>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</si>
  <si>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</si>
  <si>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</si>
  <si>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</si>
  <si>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</si>
  <si>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</si>
  <si>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</si>
  <si>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</si>
  <si>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</si>
  <si>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</si>
  <si>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</si>
  <si>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</si>
  <si>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</si>
  <si>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</si>
  <si>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</si>
  <si>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</si>
  <si>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</si>
  <si>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</si>
  <si>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</si>
  <si>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</si>
  <si>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</si>
  <si>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</si>
  <si>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</si>
  <si>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</si>
  <si>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</si>
  <si>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</si>
  <si>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</si>
  <si>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</si>
  <si>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</si>
  <si>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</si>
  <si>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</si>
  <si>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</si>
  <si>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</si>
  <si>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</si>
  <si>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</si>
  <si>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</si>
  <si>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</si>
  <si>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</si>
  <si>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</si>
  <si>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</si>
  <si>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</si>
  <si>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</si>
  <si>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</si>
  <si>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</si>
  <si>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</si>
  <si>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</si>
  <si>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</si>
  <si>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</si>
  <si>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</si>
  <si>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</si>
  <si>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</si>
  <si>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</si>
  <si>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</si>
  <si>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</si>
  <si>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</si>
  <si>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</si>
  <si>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</si>
  <si>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</si>
  <si>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</si>
  <si>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</si>
  <si>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</si>
  <si>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</si>
  <si>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</si>
  <si>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</si>
  <si>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</si>
  <si>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</si>
  <si>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</si>
  <si>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</si>
  <si>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</si>
  <si>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</si>
  <si>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</si>
  <si>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</si>
  <si>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</si>
  <si>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</si>
  <si>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</si>
  <si>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</si>
  <si>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</si>
  <si>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</si>
  <si>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</si>
  <si>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</si>
  <si>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</si>
  <si>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</si>
  <si>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</si>
  <si>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</si>
  <si>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</si>
  <si>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</si>
  <si>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</si>
  <si>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</si>
  <si>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</si>
  <si>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</si>
  <si>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</si>
  <si>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</si>
  <si>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</si>
  <si>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</si>
  <si>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</si>
  <si>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</si>
  <si>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</si>
  <si>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</si>
  <si>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</si>
  <si>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</si>
  <si>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</si>
  <si>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</si>
  <si>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</si>
  <si>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</si>
  <si>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</si>
  <si>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</si>
  <si>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</si>
  <si>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</si>
  <si>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</si>
  <si>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</si>
  <si>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</si>
  <si>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</si>
  <si>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</si>
  <si>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</si>
  <si>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</si>
  <si>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</si>
  <si>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</si>
  <si>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</si>
  <si>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</si>
  <si>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</si>
  <si>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</si>
  <si>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</si>
  <si>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</si>
  <si>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</si>
  <si>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</si>
  <si>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</si>
  <si>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</si>
  <si>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</si>
  <si>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</si>
  <si>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</si>
  <si>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</si>
  <si>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</si>
  <si>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</si>
  <si>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</si>
  <si>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</si>
  <si>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</si>
  <si>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</si>
  <si>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</si>
  <si>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</si>
  <si>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</si>
  <si>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</si>
  <si>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</si>
  <si>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</si>
  <si>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</si>
  <si>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</si>
  <si>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</si>
  <si>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</si>
  <si>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</si>
  <si>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</si>
  <si>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</si>
  <si>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</si>
  <si>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</si>
  <si>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</si>
  <si>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</si>
  <si>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</si>
  <si>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</si>
  <si>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</si>
  <si>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</si>
  <si>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</si>
  <si>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</si>
  <si>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</si>
  <si>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</si>
  <si>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</si>
  <si>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</si>
  <si>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</si>
  <si>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</si>
  <si>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</si>
  <si>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</si>
  <si>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</si>
  <si>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</si>
  <si>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</si>
  <si>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</si>
  <si>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</si>
  <si>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</si>
  <si>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</si>
  <si>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</si>
  <si>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</si>
  <si>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</si>
  <si>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</si>
  <si>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</si>
  <si>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</si>
  <si>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</si>
  <si>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</si>
  <si>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</si>
  <si>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</si>
  <si>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</si>
  <si>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</si>
  <si>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</si>
  <si>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</si>
  <si>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</si>
  <si>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</si>
  <si>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</si>
  <si>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</si>
  <si>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</si>
  <si>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</si>
  <si>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</si>
  <si>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</si>
  <si>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</si>
  <si>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</si>
  <si>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</si>
  <si>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</si>
  <si>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</si>
  <si>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</si>
  <si>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</si>
  <si>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</si>
  <si>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</si>
  <si>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</si>
  <si>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</si>
  <si>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</si>
  <si>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</si>
  <si>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</si>
  <si>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</si>
  <si>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</si>
  <si>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</si>
  <si>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</si>
  <si>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</si>
  <si>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</si>
  <si>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</si>
  <si>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</si>
  <si>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</si>
  <si>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</si>
  <si>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</si>
  <si>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</si>
  <si>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</si>
  <si>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</si>
  <si>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</si>
  <si>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</si>
  <si>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</si>
  <si>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</si>
  <si>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</si>
  <si>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</si>
  <si>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</si>
  <si>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</si>
  <si>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</si>
  <si>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</si>
  <si>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</si>
  <si>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</si>
  <si>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</si>
  <si>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</si>
  <si>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</si>
  <si>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</si>
  <si>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</si>
  <si>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</si>
  <si>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</si>
  <si>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</si>
  <si>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</si>
  <si>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</si>
  <si>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</si>
  <si>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</si>
  <si>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</si>
  <si>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</si>
  <si>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</si>
  <si>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</si>
  <si>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</si>
  <si>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</si>
  <si>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</si>
  <si>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</si>
  <si>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</si>
  <si>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</si>
  <si>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</si>
  <si>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</si>
  <si>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</si>
  <si>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</si>
  <si>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</si>
  <si>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</si>
  <si>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</si>
  <si>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</si>
  <si>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</si>
  <si>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</si>
  <si>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</si>
  <si>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</si>
  <si>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</si>
  <si>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</si>
  <si>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</si>
  <si>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</si>
  <si>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</si>
  <si>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</si>
  <si>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</si>
  <si>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</si>
  <si>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</si>
  <si>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</si>
  <si>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</si>
  <si>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</si>
  <si>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</si>
  <si>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</si>
  <si>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</si>
  <si>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</si>
  <si>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</si>
  <si>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</si>
  <si>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</si>
  <si>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</si>
  <si>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</si>
  <si>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</si>
  <si>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</si>
  <si>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</si>
  <si>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</si>
  <si>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</si>
  <si>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</si>
  <si>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</si>
  <si>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</si>
  <si>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</si>
  <si>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</si>
  <si>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</si>
  <si>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</si>
  <si>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</si>
  <si>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</si>
  <si>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</si>
  <si>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</si>
  <si>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</si>
  <si>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</si>
  <si>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</si>
  <si>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</si>
  <si>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</si>
  <si>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</si>
  <si>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</si>
  <si>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</si>
  <si>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</si>
  <si>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</si>
  <si>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</si>
  <si>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</si>
  <si>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</si>
  <si>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</si>
  <si>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</si>
  <si>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</si>
  <si>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</si>
  <si>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</si>
  <si>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</si>
  <si>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</si>
  <si>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</si>
  <si>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</si>
  <si>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</si>
  <si>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</si>
  <si>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</si>
  <si>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</si>
  <si>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</si>
  <si>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</si>
  <si>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</si>
  <si>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</si>
  <si>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</si>
  <si>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</si>
  <si>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</si>
  <si>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</si>
  <si>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</si>
  <si>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</si>
  <si>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</si>
  <si>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</si>
  <si>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</si>
  <si>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</si>
  <si>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</si>
  <si>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</si>
  <si>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</si>
  <si>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</si>
  <si>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</si>
  <si>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</si>
  <si>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</si>
  <si>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</si>
  <si>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</si>
  <si>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</si>
  <si>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</si>
  <si>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</si>
  <si>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</si>
  <si>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</si>
  <si>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</si>
  <si>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</si>
  <si>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</si>
  <si>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</si>
  <si>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</si>
  <si>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</si>
  <si>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</si>
  <si>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</si>
  <si>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</si>
  <si>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</si>
  <si>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</si>
  <si>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</si>
  <si>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</si>
  <si>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</si>
  <si>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</si>
  <si>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</si>
  <si>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</si>
  <si>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</si>
  <si>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</si>
  <si>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</si>
  <si>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</si>
  <si>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</si>
  <si>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</si>
  <si>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</si>
  <si>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</si>
  <si>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</si>
  <si>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</si>
  <si>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</si>
  <si>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</si>
  <si>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</si>
  <si>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</si>
  <si>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</si>
  <si>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</si>
  <si>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</si>
  <si>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</si>
  <si>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</si>
  <si>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</si>
  <si>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</si>
  <si>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</si>
  <si>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</si>
  <si>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</si>
  <si>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</si>
  <si>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</si>
  <si>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</si>
  <si>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</si>
  <si>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</si>
  <si>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</si>
  <si>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</si>
  <si>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</si>
  <si>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</si>
  <si>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</si>
  <si>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</si>
  <si>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</si>
  <si>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</si>
  <si>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</si>
  <si>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</si>
  <si>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</si>
  <si>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</si>
  <si>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</si>
  <si>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</si>
  <si>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</si>
  <si>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</si>
  <si>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</si>
  <si>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</si>
  <si>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</si>
  <si>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</si>
  <si>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</si>
  <si>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</si>
  <si>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</si>
  <si>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</si>
  <si>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</si>
  <si>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</si>
  <si>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</si>
  <si>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</si>
  <si>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</si>
  <si>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</si>
  <si>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</si>
  <si>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</si>
  <si>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</si>
  <si>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</si>
  <si>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</si>
  <si>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</si>
  <si>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</si>
  <si>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</si>
  <si>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</si>
  <si>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</si>
  <si>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</si>
  <si>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</si>
  <si>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</si>
  <si>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</si>
  <si>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</si>
  <si>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</si>
  <si>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</si>
  <si>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</si>
  <si>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</si>
  <si>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</si>
  <si>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</si>
  <si>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</si>
  <si>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</si>
  <si>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</si>
  <si>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</si>
  <si>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</si>
  <si>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</si>
  <si>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</si>
  <si>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</si>
  <si>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</si>
  <si>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</si>
  <si>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</si>
  <si>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</si>
  <si>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</si>
  <si>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</si>
  <si>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</si>
  <si>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</si>
  <si>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</si>
  <si>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</si>
  <si>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</si>
  <si>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</si>
  <si>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</si>
  <si>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</si>
  <si>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</si>
  <si>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</si>
  <si>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</si>
  <si>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</si>
  <si>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</si>
  <si>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</si>
  <si>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</si>
  <si>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</si>
  <si>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</si>
  <si>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</si>
  <si>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</si>
  <si>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</si>
  <si>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</si>
  <si>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</si>
  <si>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</si>
  <si>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</si>
  <si>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</si>
  <si>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</si>
  <si>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</si>
  <si>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</si>
  <si>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</si>
  <si>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</si>
  <si>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</si>
  <si>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</si>
  <si>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</si>
  <si>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</si>
  <si>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</si>
  <si>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</si>
  <si>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</si>
  <si>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</si>
  <si>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</si>
  <si>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</si>
  <si>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</si>
  <si>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</si>
  <si>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</si>
  <si>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</si>
  <si>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</si>
  <si>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</si>
  <si>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</si>
  <si>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</si>
  <si>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</si>
  <si>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</si>
  <si>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</si>
  <si>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</si>
  <si>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</si>
  <si>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</si>
  <si>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</si>
  <si>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</si>
  <si>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</si>
  <si>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</si>
  <si>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</si>
  <si>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</si>
  <si>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</si>
  <si>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</si>
  <si>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</si>
  <si>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</si>
  <si>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</si>
  <si>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</si>
  <si>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</si>
  <si>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</si>
  <si>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</si>
  <si>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</si>
  <si>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</si>
  <si>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</si>
  <si>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</si>
  <si>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</si>
  <si>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</si>
  <si>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</si>
  <si>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</si>
  <si>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</si>
  <si>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</si>
  <si>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</si>
  <si>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</si>
  <si>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</si>
  <si>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</si>
  <si>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</si>
  <si>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</si>
  <si>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</si>
  <si>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</si>
  <si>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</si>
  <si>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</si>
  <si>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</si>
  <si>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</si>
  <si>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</si>
  <si>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</si>
  <si>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</si>
  <si>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</si>
  <si>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</si>
  <si>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</si>
  <si>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</si>
  <si>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</si>
  <si>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</si>
  <si>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</si>
  <si>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</si>
  <si>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</si>
  <si>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</si>
  <si>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</si>
  <si>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</si>
  <si>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</si>
  <si>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</si>
  <si>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</si>
  <si>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</si>
  <si>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</si>
  <si>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</si>
  <si>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</si>
  <si>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</si>
  <si>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</si>
  <si>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</si>
  <si>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</si>
  <si>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</si>
  <si>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</si>
  <si>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</si>
  <si>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</si>
  <si>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</si>
  <si>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</si>
  <si>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</si>
  <si>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</si>
  <si>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</si>
  <si>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</si>
  <si>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</si>
  <si>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</si>
  <si>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</si>
  <si>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</si>
  <si>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</si>
  <si>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</si>
  <si>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</si>
  <si>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</si>
  <si>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</si>
  <si>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</si>
  <si>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</si>
  <si>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</si>
  <si>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</si>
  <si>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</si>
  <si>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</si>
  <si>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</si>
  <si>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</si>
  <si>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</si>
  <si>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</si>
  <si>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</si>
  <si>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</si>
  <si>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</si>
  <si>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</si>
  <si>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</si>
  <si>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</si>
  <si>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</si>
  <si>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</si>
  <si>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</si>
  <si>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</si>
  <si>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</si>
  <si>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</si>
  <si>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</si>
  <si>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</si>
  <si>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</si>
  <si>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</si>
  <si>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</si>
  <si>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</si>
  <si>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</si>
  <si>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</si>
  <si>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</si>
  <si>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</si>
  <si>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</si>
  <si>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</si>
  <si>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</si>
  <si>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</si>
  <si>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</si>
  <si>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</si>
  <si>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</si>
  <si>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</si>
  <si>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</si>
  <si>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</si>
  <si>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</si>
  <si>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</si>
  <si>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</si>
  <si>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</si>
  <si>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</si>
  <si>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</si>
  <si>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</si>
  <si>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</si>
  <si>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</si>
  <si>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</si>
  <si>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</si>
  <si>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</si>
  <si>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</si>
  <si>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</si>
  <si>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</si>
  <si>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</si>
  <si>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</si>
  <si>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</si>
  <si>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</si>
  <si>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</si>
  <si>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</si>
  <si>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</si>
  <si>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</si>
  <si>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</si>
  <si>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</si>
  <si>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</si>
  <si>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</si>
  <si>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</si>
  <si>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</si>
  <si>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</si>
  <si>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</si>
  <si>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</si>
  <si>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</si>
  <si>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</si>
  <si>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</si>
  <si>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</si>
  <si>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</si>
  <si>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</si>
  <si>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</si>
  <si>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</si>
  <si>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</si>
  <si>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</si>
  <si>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</si>
  <si>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</si>
  <si>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</si>
  <si>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</si>
  <si>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</si>
  <si>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</si>
  <si>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</si>
  <si>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</si>
  <si>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</si>
  <si>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</si>
  <si>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</si>
  <si>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</si>
  <si>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</si>
  <si>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</si>
  <si>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</si>
  <si>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</si>
  <si>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</si>
  <si>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</si>
  <si>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</si>
  <si>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</si>
  <si>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</si>
  <si>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</si>
  <si>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</si>
  <si>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</si>
  <si>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</si>
  <si>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</si>
  <si>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</si>
  <si>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</si>
  <si>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</si>
  <si>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</si>
  <si>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</si>
  <si>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</si>
  <si>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</si>
  <si>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</si>
  <si>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</si>
  <si>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</si>
  <si>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</si>
  <si>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</si>
  <si>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</si>
  <si>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</si>
  <si>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</si>
  <si>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</si>
  <si>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</si>
  <si>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</si>
  <si>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</si>
  <si>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</si>
  <si>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</si>
  <si>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</si>
  <si>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</si>
  <si>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</si>
  <si>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</si>
  <si>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</si>
  <si>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</si>
  <si>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</si>
  <si>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</si>
  <si>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</si>
  <si>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</si>
  <si>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</si>
  <si>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</si>
  <si>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</si>
  <si>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</si>
  <si>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</si>
  <si>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</si>
  <si>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</si>
  <si>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</si>
  <si>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</si>
  <si>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</si>
  <si>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</si>
  <si>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</si>
  <si>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</si>
  <si>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</si>
  <si>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</si>
  <si>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</si>
  <si>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</si>
  <si>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</si>
  <si>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</si>
  <si>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</si>
  <si>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</si>
  <si>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</si>
  <si>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</si>
  <si>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</si>
  <si>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</si>
  <si>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</si>
  <si>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</si>
  <si>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</si>
  <si>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</si>
  <si>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</si>
  <si>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</si>
  <si>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</si>
  <si>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</si>
  <si>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</si>
  <si>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</si>
  <si>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</si>
  <si>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</si>
  <si>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</si>
  <si>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</si>
  <si>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</si>
  <si>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</si>
  <si>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</si>
  <si>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</si>
  <si>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</si>
  <si>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</si>
  <si>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</si>
  <si>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</si>
  <si>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</si>
  <si>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</si>
  <si>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</si>
  <si>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</si>
  <si>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</si>
  <si>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</si>
  <si>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</si>
  <si>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</si>
  <si>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</si>
  <si>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</si>
  <si>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</si>
  <si>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</si>
  <si>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</si>
  <si>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</si>
  <si>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</si>
  <si>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</si>
  <si>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</si>
  <si>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</si>
  <si>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</si>
  <si>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</si>
  <si>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</si>
  <si>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</si>
  <si>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</si>
  <si>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</si>
  <si>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</si>
  <si>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</si>
  <si>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</si>
  <si>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</si>
  <si>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</si>
  <si>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</si>
  <si>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</si>
  <si>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</si>
  <si>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</si>
  <si>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</si>
  <si>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</si>
  <si>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</si>
  <si>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</si>
  <si>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</si>
  <si>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</si>
  <si>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</si>
  <si>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</si>
  <si>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</si>
  <si>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</si>
  <si>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</si>
  <si>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</si>
  <si>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</si>
  <si>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</si>
  <si>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</si>
  <si>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</si>
  <si>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</si>
  <si>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</si>
  <si>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</si>
  <si>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</si>
  <si>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</si>
  <si>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</si>
  <si>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</si>
  <si>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</si>
  <si>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</si>
  <si>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</si>
  <si>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</si>
  <si>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</si>
  <si>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</si>
  <si>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</si>
  <si>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</si>
  <si>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</si>
  <si>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</si>
  <si>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</si>
  <si>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</si>
  <si>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</si>
  <si>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</si>
  <si>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</si>
  <si>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</si>
  <si>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</si>
  <si>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</si>
  <si>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</si>
  <si>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</si>
  <si>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</si>
  <si>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</si>
  <si>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</si>
  <si>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</si>
  <si>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</si>
  <si>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</si>
  <si>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</si>
  <si>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</si>
  <si>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</si>
  <si>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</si>
  <si>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</si>
  <si>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</si>
  <si>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</si>
  <si>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</si>
  <si>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</si>
  <si>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</si>
  <si>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</si>
  <si>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</si>
  <si>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</si>
  <si>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</si>
  <si>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</si>
  <si>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</si>
  <si>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</si>
  <si>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</si>
  <si>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</si>
  <si>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</si>
  <si>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</si>
  <si>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</si>
  <si>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</si>
  <si>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</si>
  <si>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</si>
  <si>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</si>
  <si>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</si>
  <si>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</si>
  <si>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</si>
  <si>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</si>
  <si>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</si>
  <si>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</si>
  <si>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</si>
  <si>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</si>
  <si>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</si>
  <si>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</si>
  <si>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</si>
  <si>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</si>
  <si>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</si>
  <si>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</si>
  <si>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</si>
  <si>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</si>
  <si>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</si>
  <si>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</si>
  <si>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</si>
  <si>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</si>
  <si>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</si>
  <si>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</si>
  <si>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</si>
  <si>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</si>
  <si>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</si>
  <si>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</si>
  <si>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</si>
  <si>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</si>
  <si>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</si>
  <si>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</si>
  <si>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</si>
  <si>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</si>
  <si>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</si>
  <si>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</si>
  <si>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</si>
  <si>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</si>
  <si>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</si>
  <si>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</si>
  <si>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</si>
  <si>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</si>
  <si>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</si>
  <si>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</si>
  <si>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</si>
  <si>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</si>
  <si>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</si>
  <si>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</si>
  <si>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</si>
  <si>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</si>
  <si>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</si>
  <si>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</si>
  <si>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</si>
  <si>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</si>
  <si>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</si>
  <si>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</si>
  <si>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</si>
  <si>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</si>
  <si>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</si>
  <si>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</si>
  <si>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</si>
  <si>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</si>
  <si>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</si>
  <si>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</si>
  <si>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</si>
  <si>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</si>
  <si>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</si>
  <si>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</si>
  <si>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</si>
  <si>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</si>
  <si>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</si>
  <si>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</si>
  <si>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</si>
  <si>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</si>
  <si>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</si>
  <si>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</si>
  <si>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</si>
  <si>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</si>
  <si>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</si>
  <si>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</si>
  <si>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</si>
  <si>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</si>
  <si>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</si>
  <si>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</si>
  <si>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</si>
  <si>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</si>
  <si>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</si>
  <si>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</si>
  <si>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</si>
  <si>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</si>
  <si>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</si>
  <si>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</si>
  <si>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</si>
  <si>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</si>
  <si>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</si>
  <si>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</si>
  <si>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</si>
  <si>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</si>
  <si>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</si>
  <si>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</si>
  <si>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</si>
  <si>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</si>
  <si>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</si>
  <si>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</si>
  <si>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</si>
  <si>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</si>
  <si>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</si>
  <si>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</si>
  <si>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</si>
  <si>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</si>
  <si>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</si>
  <si>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</si>
  <si>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</si>
  <si>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</si>
  <si>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</si>
  <si>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</si>
  <si>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</si>
  <si>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</si>
  <si>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</si>
  <si>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</si>
  <si>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</si>
  <si>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</si>
  <si>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</si>
  <si>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</si>
  <si>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</si>
  <si>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</si>
  <si>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</si>
  <si>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</si>
  <si>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</si>
  <si>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</si>
  <si>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</si>
  <si>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</si>
  <si>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</si>
  <si>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</si>
  <si>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</si>
  <si>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</si>
  <si>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</si>
  <si>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</si>
  <si>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</si>
  <si>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</si>
  <si>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</si>
  <si>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</si>
  <si>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</si>
  <si>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</si>
  <si>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</si>
  <si>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</si>
  <si>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</si>
  <si>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</si>
  <si>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</si>
  <si>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</si>
  <si>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</si>
  <si>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</si>
  <si>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</si>
  <si>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</si>
  <si>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</si>
  <si>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</si>
  <si>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</si>
  <si>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</si>
  <si>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</si>
  <si>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</si>
  <si>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</si>
  <si>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</si>
  <si>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</si>
  <si>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</si>
  <si>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</si>
  <si>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</si>
  <si>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</si>
  <si>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</si>
  <si>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</si>
  <si>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</si>
  <si>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</si>
  <si>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</si>
  <si>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</si>
  <si>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</si>
  <si>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</si>
  <si>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</si>
  <si>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</si>
  <si>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</si>
  <si>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</si>
  <si>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</si>
  <si>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</si>
  <si>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</si>
  <si>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</si>
  <si>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</si>
  <si>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</si>
  <si>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</si>
  <si>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</si>
  <si>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</si>
  <si>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</si>
  <si>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</si>
  <si>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</si>
  <si>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</si>
  <si>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</si>
  <si>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</si>
  <si>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</si>
  <si>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</si>
  <si>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</si>
  <si>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</si>
  <si>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</si>
  <si>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</si>
  <si>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</si>
  <si>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</si>
  <si>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</si>
  <si>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</si>
  <si>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</si>
  <si>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</si>
  <si>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</si>
  <si>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</si>
  <si>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</si>
  <si>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</si>
  <si>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</si>
  <si>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</si>
  <si>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</si>
  <si>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</si>
  <si>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</si>
  <si>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</si>
  <si>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</si>
  <si>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</si>
  <si>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</si>
  <si>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</si>
  <si>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</si>
  <si>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</si>
  <si>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</si>
  <si>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</si>
  <si>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</si>
  <si>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</si>
  <si>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</si>
  <si>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</si>
  <si>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</si>
  <si>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</si>
  <si>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</si>
  <si>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</si>
  <si>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</si>
  <si>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</si>
  <si>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</si>
  <si>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</si>
  <si>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</si>
  <si>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</si>
  <si>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</si>
  <si>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</si>
  <si>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</si>
  <si>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</si>
  <si>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</si>
  <si>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</si>
  <si>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</si>
  <si>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</si>
  <si>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</si>
  <si>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</si>
  <si>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</si>
  <si>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</si>
  <si>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</si>
  <si>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</si>
  <si>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</si>
  <si>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</si>
  <si>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</si>
  <si>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</si>
  <si>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</si>
  <si>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</si>
  <si>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</si>
  <si>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</si>
  <si>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</si>
  <si>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</si>
  <si>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</si>
  <si>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</si>
  <si>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</si>
  <si>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</si>
  <si>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</si>
  <si>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</si>
  <si>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</si>
  <si>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</si>
  <si>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</si>
  <si>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</si>
  <si>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</si>
  <si>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</si>
  <si>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</si>
  <si>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</si>
  <si>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</si>
  <si>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</si>
  <si>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</si>
  <si>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</si>
  <si>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</si>
  <si>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</si>
  <si>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</si>
  <si>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</si>
  <si>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</si>
  <si>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</si>
  <si>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</si>
  <si>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</si>
  <si>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</si>
  <si>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</si>
  <si>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</si>
  <si>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</si>
  <si>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</si>
  <si>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</si>
  <si>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</si>
  <si>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</si>
  <si>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</si>
  <si>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</si>
  <si>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</si>
  <si>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</si>
  <si>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</si>
  <si>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</si>
  <si>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</si>
  <si>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</si>
  <si>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</si>
  <si>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</si>
  <si>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</si>
  <si>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</si>
  <si>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</si>
  <si>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</si>
  <si>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</si>
  <si>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</si>
  <si>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</si>
  <si>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</si>
  <si>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</si>
  <si>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</si>
  <si>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</si>
  <si>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</si>
  <si>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</si>
  <si>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</si>
  <si>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</si>
  <si>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</si>
  <si>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</si>
  <si>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</si>
  <si>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</si>
  <si>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</si>
  <si>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</si>
  <si>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</si>
  <si>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</si>
  <si>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</si>
  <si>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</si>
  <si>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</si>
  <si>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</si>
  <si>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</si>
  <si>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</si>
  <si>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</si>
  <si>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</si>
  <si>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</si>
  <si>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</si>
  <si>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Count Of Employee Count</t>
  </si>
  <si>
    <t>Average of Age</t>
  </si>
  <si>
    <t>attrition count</t>
  </si>
  <si>
    <t>Active Employee</t>
  </si>
  <si>
    <t>Attribution Rate</t>
  </si>
  <si>
    <t>Average of Job Satisfaction</t>
  </si>
  <si>
    <t>Rating</t>
  </si>
  <si>
    <t>Balance Rating</t>
  </si>
  <si>
    <t>Row Labels</t>
  </si>
  <si>
    <t>Grand Total</t>
  </si>
  <si>
    <t>Sum of Employee Count</t>
  </si>
  <si>
    <t>Sum of CF_attrition counts</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</si>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</sst>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0"/>
      <name val="Calibri"/>
      <family val="2"/>
      <scheme val="minor"/>
    </font>
    <font>
      <sz val="12"/>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1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32">
    <xf numFmtId="0" fontId="0" fillId="0" borderId="0" xfId="0" applyFont="1" applyAlignment="1"/>
    <xf numFmtId="0" fontId="2" fillId="0" borderId="0" xfId="0" applyFont="1" applyAlignment="1">
      <alignment horizontal="center"/>
    </xf>
    <xf numFmtId="0" fontId="1" fillId="0" borderId="0" xfId="0" applyFont="1" applyAlignment="1">
      <alignment horizontal="center"/>
    </xf>
    <xf numFmtId="0" fontId="0" fillId="0" borderId="0" xfId="0" applyFont="1" applyAlignment="1">
      <alignment horizontal="center"/>
    </xf>
    <xf numFmtId="0" fontId="0" fillId="0" borderId="3" xfId="0" applyFont="1" applyBorder="1" applyAlignment="1"/>
    <xf numFmtId="0" fontId="0" fillId="0" borderId="4" xfId="0" applyNumberFormat="1" applyFont="1" applyBorder="1" applyAlignment="1"/>
    <xf numFmtId="0" fontId="3" fillId="0" borderId="0" xfId="0" applyFont="1" applyAlignment="1"/>
    <xf numFmtId="9" fontId="0" fillId="0" borderId="0" xfId="1" applyFont="1" applyAlignment="1"/>
    <xf numFmtId="2" fontId="0" fillId="0" borderId="0" xfId="0" applyNumberFormat="1" applyFont="1" applyAlignment="1"/>
    <xf numFmtId="164" fontId="0" fillId="0" borderId="0" xfId="0" applyNumberFormat="1" applyFont="1" applyAlignment="1"/>
    <xf numFmtId="1" fontId="0" fillId="0" borderId="0" xfId="0" applyNumberFormat="1" applyFont="1" applyAlignment="1"/>
    <xf numFmtId="0" fontId="0" fillId="2" borderId="0" xfId="0" applyFont="1" applyFill="1" applyAlignment="1"/>
    <xf numFmtId="164"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6" xfId="0" applyNumberFormat="1" applyFont="1" applyBorder="1" applyAlignment="1"/>
    <xf numFmtId="0" fontId="0" fillId="0" borderId="5" xfId="0" applyFont="1" applyBorder="1" applyAlignment="1">
      <alignment horizontal="left"/>
    </xf>
    <xf numFmtId="0" fontId="0" fillId="0" borderId="0" xfId="0" applyFont="1" applyFill="1" applyBorder="1" applyAlignment="1">
      <alignment horizontal="left"/>
    </xf>
    <xf numFmtId="10" fontId="0" fillId="0" borderId="3" xfId="0" applyNumberFormat="1" applyFont="1" applyBorder="1" applyAlignment="1"/>
    <xf numFmtId="10" fontId="0" fillId="0" borderId="6" xfId="0" applyNumberFormat="1" applyFont="1" applyBorder="1" applyAlignment="1"/>
    <xf numFmtId="10" fontId="0" fillId="0" borderId="4" xfId="0" applyNumberFormat="1" applyFont="1" applyBorder="1" applyAlignment="1"/>
    <xf numFmtId="0" fontId="0" fillId="0" borderId="1" xfId="0" applyFont="1" applyBorder="1" applyAlignment="1"/>
    <xf numFmtId="0" fontId="0" fillId="0" borderId="7" xfId="0" applyFont="1" applyBorder="1" applyAlignment="1"/>
    <xf numFmtId="0" fontId="0" fillId="0" borderId="8" xfId="0" applyFont="1" applyBorder="1" applyAlignment="1"/>
    <xf numFmtId="0" fontId="0" fillId="0" borderId="2" xfId="0"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0" fillId="0" borderId="12" xfId="0" applyFont="1" applyBorder="1" applyAlignment="1"/>
    <xf numFmtId="0" fontId="0" fillId="0" borderId="13" xfId="0" applyFont="1" applyBorder="1" applyAlignment="1"/>
  </cellXfs>
  <cellStyles count="2">
    <cellStyle name="Normal" xfId="0" builtinId="0"/>
    <cellStyle name="Percent" xfId="1" builtinId="5"/>
  </cellStyles>
  <dxfs count="8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sz val="10"/>
        <color theme="8" tint="-0.499984740745262"/>
      </font>
      <fill>
        <patternFill>
          <fgColor theme="0" tint="-0.14996795556505021"/>
        </patternFill>
      </fill>
    </dxf>
    <dxf>
      <font>
        <b/>
        <i val="0"/>
        <sz val="12"/>
        <color theme="5" tint="-0.499984740745262"/>
      </font>
      <fill>
        <patternFill>
          <bgColor theme="0" tint="-0.24994659260841701"/>
        </patternFill>
      </fill>
      <border diagonalUp="0" diagonalDown="0">
        <left/>
        <right/>
        <top/>
        <bottom/>
        <vertical/>
        <horizontal/>
      </border>
    </dxf>
    <dxf>
      <numFmt numFmtId="164" formatCode="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2"/>
        <color theme="0"/>
        <name val="Calibri"/>
        <scheme val="minor"/>
      </font>
      <alignment horizontal="center" vertical="bottom" textRotation="0" wrapText="0" indent="0" justifyLastLine="0" shrinkToFit="0" readingOrder="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80"/>
      <tableStyleElement type="firstRowStripe" dxfId="79"/>
      <tableStyleElement type="secondRowStripe" dxfId="78"/>
    </tableStyle>
    <tableStyle name="Slicer Style 1" pivot="0" table="0" count="3" xr9:uid="{0AAA5E1A-298D-4C0A-93CE-C61438849BCA}">
      <tableStyleElement type="wholeTable" dxfId="29"/>
      <tableStyleElement type="headerRow" dxfId="28"/>
    </tableStyle>
  </tableStyles>
  <extLst>
    <ext xmlns:x14="http://schemas.microsoft.com/office/spreadsheetml/2009/9/main" uri="{46F421CA-312F-682f-3DD2-61675219B42D}">
      <x14:dxfs count="1">
        <dxf>
          <font>
            <b/>
            <i val="0"/>
            <sz val="10"/>
            <color theme="8"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dashboard.xlsx]Department wise Attrition!Department wise Attrition</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6940228875973216"/>
          <c:y val="0.29396317316237003"/>
          <c:w val="0.59070191938214889"/>
          <c:h val="0.70603682683762992"/>
        </c:manualLayout>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1-49F1-9FB3-BF65CDE5F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1-49F1-9FB3-BF65CDE5F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1-49F1-9FB3-BF65CDE5F533}"/>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5EAE-43A9-9E36-D14BCFBBB4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C8-4135-B55E-550A6940F2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C8-4135-B55E-550A6940F2F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5A7B-432A-A71B-6296033CC827}"/>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dashboard.xlsx]Age Wise Attrition!Age Wise Attrition</c:name>
    <c:fmtId val="1"/>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'Age Wise Attrition'!$B$3</c:f>
              <c:strCache>
                <c:ptCount val="1"/>
                <c:pt idx="0">
                  <c:v>Total</c:v>
                </c:pt>
              </c:strCache>
            </c:strRef>
          </c:tx>
          <c:spPr>
            <a:solidFill>
              <a:schemeClr val="accent1"/>
            </a:solidFill>
            <a:ln>
              <a:noFill/>
            </a:ln>
            <a:effectLst/>
          </c:spPr>
          <c:invertIfNegative val="0"/>
          <c:cat>
            <c:strRef>
              <c:f>'Age Wise Attrition'!$A$4:$A$9</c:f>
              <c:strCache>
                <c:ptCount val="5"/>
                <c:pt idx="0">
                  <c:v>25 - 34</c:v>
                </c:pt>
                <c:pt idx="1">
                  <c:v>35 - 44</c:v>
                </c:pt>
                <c:pt idx="2">
                  <c:v>Under 25</c:v>
                </c:pt>
                <c:pt idx="3">
                  <c:v>45 - 54</c:v>
                </c:pt>
                <c:pt idx="4">
                  <c:v>Over 55</c:v>
                </c:pt>
              </c:strCache>
            </c:strRef>
          </c:cat>
          <c:val>
            <c:numRef>
              <c:f>'Age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0E7-4589-9E32-53981869BA44}"/>
            </c:ext>
          </c:extLst>
        </c:ser>
        <c:dLbls>
          <c:showLegendKey val="0"/>
          <c:showVal val="0"/>
          <c:showCatName val="0"/>
          <c:showSerName val="0"/>
          <c:showPercent val="0"/>
          <c:showBubbleSize val="0"/>
        </c:dLbls>
        <c:gapWidth val="219"/>
        <c:overlap val="-27"/>
        <c:axId val="427769720"/>
        <c:axId val="427771032"/>
      </c:barChart>
      <c:catAx>
        <c:axId val="427769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71032"/>
        <c:crosses val="autoZero"/>
        <c:auto val="1"/>
        <c:lblAlgn val="ctr"/>
        <c:lblOffset val="100"/>
        <c:noMultiLvlLbl val="0"/>
      </c:catAx>
      <c:valAx>
        <c:axId val="427771032"/>
        <c:scaling>
          <c:orientation val="minMax"/>
        </c:scaling>
        <c:delete val="1"/>
        <c:axPos val="l"/>
        <c:numFmt formatCode="General" sourceLinked="1"/>
        <c:majorTickMark val="none"/>
        <c:minorTickMark val="none"/>
        <c:tickLblPos val="nextTo"/>
        <c:crossAx val="427769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16-4C35-B383-29D2CC625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16-4C35-B383-29D2CC625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16-4C35-B383-29D2CC62528A}"/>
              </c:ext>
            </c:extLst>
          </c:dPt>
          <c:val>
            <c:numRef>
              <c:f>Gender!$C$8:$C$10</c:f>
              <c:numCache>
                <c:formatCode>0%</c:formatCode>
                <c:ptCount val="3"/>
                <c:pt idx="0">
                  <c:v>0.4</c:v>
                </c:pt>
                <c:pt idx="1">
                  <c:v>0.6</c:v>
                </c:pt>
              </c:numCache>
            </c:numRef>
          </c:val>
          <c:extLst>
            <c:ext xmlns:c16="http://schemas.microsoft.com/office/drawing/2014/chart" uri="{C3380CC4-5D6E-409C-BE32-E72D297353CC}">
              <c16:uniqueId val="{00000000-8EBE-4772-9340-915D231FDD7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5C-4DAD-9C31-4973AE92E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5C-4DAD-9C31-4973AE92E5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5C-4DAD-9C31-4973AE92E59E}"/>
              </c:ext>
            </c:extLst>
          </c:dPt>
          <c:val>
            <c:numRef>
              <c:f>Gender!$C$8:$C$10</c:f>
              <c:numCache>
                <c:formatCode>0%</c:formatCode>
                <c:ptCount val="3"/>
                <c:pt idx="0">
                  <c:v>0.4</c:v>
                </c:pt>
                <c:pt idx="1">
                  <c:v>0.6</c:v>
                </c:pt>
              </c:numCache>
            </c:numRef>
          </c:val>
          <c:extLst>
            <c:ext xmlns:c16="http://schemas.microsoft.com/office/drawing/2014/chart" uri="{C3380CC4-5D6E-409C-BE32-E72D297353CC}">
              <c16:uniqueId val="{00000006-EF5C-4DAD-9C31-4973AE92E5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6780402449693"/>
          <c:y val="7.407407407407407E-2"/>
          <c:w val="0.72426552930883636"/>
          <c:h val="0.8416746864975212"/>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B4B-4D05-AE7B-03B1BAE47EA9}"/>
            </c:ext>
          </c:extLst>
        </c:ser>
        <c:dLbls>
          <c:dLblPos val="outEnd"/>
          <c:showLegendKey val="0"/>
          <c:showVal val="1"/>
          <c:showCatName val="0"/>
          <c:showSerName val="0"/>
          <c:showPercent val="0"/>
          <c:showBubbleSize val="0"/>
        </c:dLbls>
        <c:gapWidth val="182"/>
        <c:axId val="525292952"/>
        <c:axId val="525290984"/>
      </c:barChart>
      <c:catAx>
        <c:axId val="525292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90984"/>
        <c:crosses val="autoZero"/>
        <c:auto val="1"/>
        <c:lblAlgn val="ctr"/>
        <c:lblOffset val="100"/>
        <c:noMultiLvlLbl val="0"/>
      </c:catAx>
      <c:valAx>
        <c:axId val="525290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92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818241877659209E-2"/>
          <c:y val="0.16306467415102638"/>
          <c:w val="0.56803239677017003"/>
          <c:h val="0.7162144545104645"/>
        </c:manualLayout>
      </c:layout>
      <c:doughnutChart>
        <c:varyColors val="1"/>
        <c:ser>
          <c:idx val="0"/>
          <c:order val="0"/>
          <c:dPt>
            <c:idx val="0"/>
            <c:bubble3D val="0"/>
            <c:spPr>
              <a:gradFill>
                <a:gsLst>
                  <a:gs pos="0">
                    <a:schemeClr val="accent2">
                      <a:lumMod val="75000"/>
                    </a:schemeClr>
                  </a:gs>
                  <a:gs pos="39000">
                    <a:schemeClr val="accent2">
                      <a:lumMod val="75000"/>
                    </a:schemeClr>
                  </a:gs>
                  <a:gs pos="70000">
                    <a:schemeClr val="accent2">
                      <a:lumMod val="75000"/>
                    </a:schemeClr>
                  </a:gs>
                  <a:gs pos="89375">
                    <a:schemeClr val="accent2">
                      <a:lumMod val="60000"/>
                      <a:lumOff val="40000"/>
                    </a:schemeClr>
                  </a:gs>
                  <a:gs pos="100000">
                    <a:schemeClr val="accent2">
                      <a:lumMod val="60000"/>
                      <a:lumOff val="40000"/>
                    </a:schemeClr>
                  </a:gs>
                </a:gsLst>
                <a:lin ang="5400000" scaled="1"/>
              </a:gradFill>
              <a:ln w="19050">
                <a:noFill/>
              </a:ln>
              <a:effectLst/>
            </c:spPr>
            <c:extLst>
              <c:ext xmlns:c16="http://schemas.microsoft.com/office/drawing/2014/chart" uri="{C3380CC4-5D6E-409C-BE32-E72D297353CC}">
                <c16:uniqueId val="{00000001-863E-4D8C-AA68-5BB72C42A80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63E-4D8C-AA68-5BB72C42A80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863E-4D8C-AA68-5BB72C42A80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2">
                    <a:lumMod val="75000"/>
                  </a:schemeClr>
                </a:gs>
                <a:gs pos="39000">
                  <a:schemeClr val="accent2">
                    <a:lumMod val="75000"/>
                  </a:schemeClr>
                </a:gs>
                <a:gs pos="70000">
                  <a:schemeClr val="accent2">
                    <a:lumMod val="60000"/>
                    <a:lumOff val="40000"/>
                  </a:schemeClr>
                </a:gs>
                <a:gs pos="89375">
                  <a:schemeClr val="accent5">
                    <a:lumMod val="60000"/>
                    <a:lumOff val="40000"/>
                  </a:schemeClr>
                </a:gs>
                <a:gs pos="100000">
                  <a:schemeClr val="accent5">
                    <a:lumMod val="60000"/>
                    <a:lumOff val="40000"/>
                  </a:schemeClr>
                </a:gs>
              </a:gsLst>
              <a:lin ang="10800000" scaled="0"/>
            </a:gradFill>
          </c:spPr>
          <c:dPt>
            <c:idx val="0"/>
            <c:bubble3D val="0"/>
            <c:spPr>
              <a:gradFill>
                <a:gsLst>
                  <a:gs pos="0">
                    <a:schemeClr val="accent2">
                      <a:lumMod val="75000"/>
                    </a:schemeClr>
                  </a:gs>
                  <a:gs pos="39000">
                    <a:schemeClr val="accent2">
                      <a:lumMod val="75000"/>
                    </a:schemeClr>
                  </a:gs>
                  <a:gs pos="70000">
                    <a:schemeClr val="accent2">
                      <a:lumMod val="75000"/>
                    </a:schemeClr>
                  </a:gs>
                  <a:gs pos="89375">
                    <a:schemeClr val="accent2">
                      <a:lumMod val="75000"/>
                    </a:schemeClr>
                  </a:gs>
                  <a:gs pos="100000">
                    <a:schemeClr val="accent5">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1-8F22-49D0-81FD-007F6DB7D4A1}"/>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8F22-49D0-81FD-007F6DB7D4A1}"/>
              </c:ext>
            </c:extLst>
          </c:dPt>
          <c:dPt>
            <c:idx val="2"/>
            <c:bubble3D val="0"/>
            <c:spPr>
              <a:gradFill>
                <a:gsLst>
                  <a:gs pos="0">
                    <a:schemeClr val="accent2">
                      <a:lumMod val="75000"/>
                    </a:schemeClr>
                  </a:gs>
                  <a:gs pos="39000">
                    <a:schemeClr val="accent2">
                      <a:lumMod val="75000"/>
                    </a:schemeClr>
                  </a:gs>
                  <a:gs pos="70000">
                    <a:schemeClr val="accent2">
                      <a:lumMod val="60000"/>
                      <a:lumOff val="40000"/>
                    </a:schemeClr>
                  </a:gs>
                  <a:gs pos="89375">
                    <a:schemeClr val="accent5">
                      <a:lumMod val="60000"/>
                      <a:lumOff val="40000"/>
                    </a:schemeClr>
                  </a:gs>
                  <a:gs pos="100000">
                    <a:schemeClr val="accent5">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5-8F22-49D0-81FD-007F6DB7D4A1}"/>
              </c:ext>
            </c:extLst>
          </c:dPt>
          <c:val>
            <c:numRef>
              <c:f>Gender!$C$8:$C$10</c:f>
              <c:numCache>
                <c:formatCode>0%</c:formatCode>
                <c:ptCount val="3"/>
                <c:pt idx="0">
                  <c:v>0.4</c:v>
                </c:pt>
                <c:pt idx="1">
                  <c:v>0.6</c:v>
                </c:pt>
              </c:numCache>
            </c:numRef>
          </c:val>
          <c:extLst>
            <c:ext xmlns:c16="http://schemas.microsoft.com/office/drawing/2014/chart" uri="{C3380CC4-5D6E-409C-BE32-E72D297353CC}">
              <c16:uniqueId val="{00000006-8F22-49D0-81FD-007F6DB7D4A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921012400203841E-2"/>
          <c:y val="5.7044430693367308E-2"/>
          <c:w val="0.81015797519959232"/>
          <c:h val="0.71772797426568846"/>
        </c:manualLayout>
      </c:layout>
      <c:doughnutChart>
        <c:varyColors val="1"/>
        <c:ser>
          <c:idx val="0"/>
          <c:order val="0"/>
          <c:spPr>
            <a:gradFill>
              <a:gsLst>
                <a:gs pos="0">
                  <a:schemeClr val="accent5">
                    <a:lumMod val="75000"/>
                  </a:schemeClr>
                </a:gs>
                <a:gs pos="39000">
                  <a:schemeClr val="accent5">
                    <a:lumMod val="75000"/>
                  </a:schemeClr>
                </a:gs>
                <a:gs pos="70000">
                  <a:schemeClr val="accent5">
                    <a:lumMod val="75000"/>
                  </a:schemeClr>
                </a:gs>
                <a:gs pos="89375">
                  <a:schemeClr val="accent5">
                    <a:lumMod val="60000"/>
                    <a:lumOff val="40000"/>
                  </a:schemeClr>
                </a:gs>
                <a:gs pos="100000">
                  <a:schemeClr val="accent5">
                    <a:lumMod val="60000"/>
                    <a:lumOff val="40000"/>
                  </a:schemeClr>
                </a:gs>
              </a:gsLst>
              <a:lin ang="10800000" scaled="0"/>
            </a:gradFill>
          </c:spPr>
          <c:dPt>
            <c:idx val="0"/>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1-0ECB-4A17-97F9-26285C27BD34}"/>
              </c:ext>
            </c:extLst>
          </c:dPt>
          <c:dPt>
            <c:idx val="1"/>
            <c:bubble3D val="0"/>
            <c:spPr>
              <a:gradFill>
                <a:gsLst>
                  <a:gs pos="0">
                    <a:schemeClr val="accent5">
                      <a:lumMod val="75000"/>
                    </a:schemeClr>
                  </a:gs>
                  <a:gs pos="39000">
                    <a:schemeClr val="accent5">
                      <a:lumMod val="75000"/>
                    </a:schemeClr>
                  </a:gs>
                  <a:gs pos="70000">
                    <a:schemeClr val="accent5">
                      <a:lumMod val="75000"/>
                    </a:schemeClr>
                  </a:gs>
                  <a:gs pos="89375">
                    <a:schemeClr val="accent1">
                      <a:lumMod val="75000"/>
                    </a:schemeClr>
                  </a:gs>
                  <a:gs pos="100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3-0ECB-4A17-97F9-26285C27BD34}"/>
              </c:ext>
            </c:extLst>
          </c:dPt>
          <c:dPt>
            <c:idx val="2"/>
            <c:bubble3D val="0"/>
            <c:spPr>
              <a:gradFill>
                <a:gsLst>
                  <a:gs pos="0">
                    <a:schemeClr val="accent5">
                      <a:lumMod val="75000"/>
                    </a:schemeClr>
                  </a:gs>
                  <a:gs pos="39000">
                    <a:schemeClr val="accent5">
                      <a:lumMod val="75000"/>
                    </a:schemeClr>
                  </a:gs>
                  <a:gs pos="70000">
                    <a:schemeClr val="accent5">
                      <a:lumMod val="75000"/>
                    </a:schemeClr>
                  </a:gs>
                  <a:gs pos="89375">
                    <a:schemeClr val="accent5">
                      <a:lumMod val="60000"/>
                      <a:lumOff val="40000"/>
                    </a:schemeClr>
                  </a:gs>
                  <a:gs pos="100000">
                    <a:schemeClr val="accent5">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5-0ECB-4A17-97F9-26285C27BD34}"/>
              </c:ext>
            </c:extLst>
          </c:dPt>
          <c:val>
            <c:numRef>
              <c:f>Gender!$C$8:$C$10</c:f>
              <c:numCache>
                <c:formatCode>0%</c:formatCode>
                <c:ptCount val="3"/>
                <c:pt idx="0">
                  <c:v>0.4</c:v>
                </c:pt>
                <c:pt idx="1">
                  <c:v>0.6</c:v>
                </c:pt>
              </c:numCache>
            </c:numRef>
          </c:val>
          <c:extLst>
            <c:ext xmlns:c16="http://schemas.microsoft.com/office/drawing/2014/chart" uri="{C3380CC4-5D6E-409C-BE32-E72D297353CC}">
              <c16:uniqueId val="{00000006-0ECB-4A17-97F9-26285C27BD3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23000">
                <a:schemeClr val="accent2">
                  <a:lumMod val="75000"/>
                </a:schemeClr>
              </a:gs>
              <a:gs pos="77000">
                <a:schemeClr val="accent3">
                  <a:lumMod val="75000"/>
                </a:schemeClr>
              </a:gs>
              <a:gs pos="63703">
                <a:schemeClr val="accent3">
                  <a:lumMod val="75000"/>
                </a:schemeClr>
              </a:gs>
              <a:gs pos="46004">
                <a:schemeClr val="accent2">
                  <a:lumMod val="75000"/>
                </a:schemeClr>
              </a:gs>
              <a:gs pos="89375">
                <a:schemeClr val="accent3">
                  <a:lumMod val="75000"/>
                </a:schemeClr>
              </a:gs>
              <a:gs pos="32754">
                <a:schemeClr val="accent2">
                  <a:lumMod val="75000"/>
                </a:schemeClr>
              </a:gs>
              <a:gs pos="100000">
                <a:schemeClr val="accent5">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2">
                    <a:lumMod val="75000"/>
                  </a:schemeClr>
                </a:gs>
                <a:gs pos="23000">
                  <a:schemeClr val="accent2">
                    <a:lumMod val="75000"/>
                  </a:schemeClr>
                </a:gs>
                <a:gs pos="77000">
                  <a:schemeClr val="accent3">
                    <a:lumMod val="75000"/>
                  </a:schemeClr>
                </a:gs>
                <a:gs pos="63703">
                  <a:schemeClr val="accent3">
                    <a:lumMod val="75000"/>
                  </a:schemeClr>
                </a:gs>
                <a:gs pos="46004">
                  <a:schemeClr val="accent2">
                    <a:lumMod val="75000"/>
                  </a:schemeClr>
                </a:gs>
                <a:gs pos="89375">
                  <a:schemeClr val="accent3">
                    <a:lumMod val="75000"/>
                  </a:schemeClr>
                </a:gs>
                <a:gs pos="32754">
                  <a:schemeClr val="accent2">
                    <a:lumMod val="75000"/>
                  </a:schemeClr>
                </a:gs>
                <a:gs pos="100000">
                  <a:schemeClr val="accent5">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439-4124-886C-AFFB73500C2B}"/>
            </c:ext>
          </c:extLst>
        </c:ser>
        <c:dLbls>
          <c:dLblPos val="outEnd"/>
          <c:showLegendKey val="0"/>
          <c:showVal val="1"/>
          <c:showCatName val="0"/>
          <c:showSerName val="0"/>
          <c:showPercent val="0"/>
          <c:showBubbleSize val="0"/>
        </c:dLbls>
        <c:gapWidth val="115"/>
        <c:axId val="525292952"/>
        <c:axId val="525290984"/>
      </c:barChart>
      <c:catAx>
        <c:axId val="525292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25290984"/>
        <c:crosses val="autoZero"/>
        <c:auto val="1"/>
        <c:lblAlgn val="ctr"/>
        <c:lblOffset val="100"/>
        <c:noMultiLvlLbl val="0"/>
      </c:catAx>
      <c:valAx>
        <c:axId val="525290984"/>
        <c:scaling>
          <c:orientation val="minMax"/>
        </c:scaling>
        <c:delete val="1"/>
        <c:axPos val="b"/>
        <c:numFmt formatCode="General" sourceLinked="1"/>
        <c:majorTickMark val="out"/>
        <c:minorTickMark val="none"/>
        <c:tickLblPos val="nextTo"/>
        <c:crossAx val="525292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a:noFill/>
          </a:ln>
        </c:spPr>
        <c:marker>
          <c:symbol val="none"/>
        </c:marker>
        <c:dLbl>
          <c:idx val="0"/>
          <c:spPr>
            <a:noFill/>
            <a:ln>
              <a:noFill/>
            </a:ln>
            <a:effectLst/>
          </c:spPr>
          <c:txPr>
            <a:bodyPr wrap="square" lIns="38100" tIns="19050" rIns="38100" bIns="19050" anchor="ctr">
              <a:spAutoFit/>
            </a:bodyPr>
            <a:lstStyle/>
            <a:p>
              <a:pPr>
                <a:defRPr b="1"/>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1000">
                <a:schemeClr val="bg1">
                  <a:lumMod val="50000"/>
                </a:schemeClr>
              </a:gs>
              <a:gs pos="83000">
                <a:schemeClr val="bg1">
                  <a:lumMod val="50000"/>
                </a:schemeClr>
              </a:gs>
            </a:gsLst>
            <a:lin ang="10800000" scaled="0"/>
          </a:gradFill>
          <a:ln w="19050">
            <a:solidFill>
              <a:schemeClr val="lt1"/>
            </a:solidFill>
          </a:ln>
          <a:effectLst/>
        </c:spPr>
      </c:pivotFmt>
      <c:pivotFmt>
        <c:idx val="7"/>
        <c:spPr>
          <a:gradFill>
            <a:gsLst>
              <a:gs pos="0">
                <a:schemeClr val="accent1">
                  <a:lumMod val="75000"/>
                </a:schemeClr>
              </a:gs>
              <a:gs pos="61000">
                <a:schemeClr val="accent2">
                  <a:lumMod val="75000"/>
                </a:schemeClr>
              </a:gs>
            </a:gsLst>
            <a:lin ang="10800000" scaled="0"/>
          </a:gradFill>
          <a:ln w="19050">
            <a:noFill/>
          </a:ln>
          <a:effectLst/>
        </c:spPr>
      </c:pivotFmt>
      <c:pivotFmt>
        <c:idx val="8"/>
        <c:spPr>
          <a:gradFill>
            <a:gsLst>
              <a:gs pos="82301">
                <a:schemeClr val="bg2">
                  <a:lumMod val="50000"/>
                </a:schemeClr>
              </a:gs>
              <a:gs pos="17000">
                <a:schemeClr val="accent1">
                  <a:lumMod val="60000"/>
                  <a:lumOff val="40000"/>
                </a:schemeClr>
              </a:gs>
              <a:gs pos="61000">
                <a:schemeClr val="bg1">
                  <a:lumMod val="50000"/>
                </a:schemeClr>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spPr>
            <a:ln>
              <a:noFill/>
            </a:ln>
          </c:spPr>
          <c:dPt>
            <c:idx val="0"/>
            <c:bubble3D val="0"/>
            <c:spPr>
              <a:gradFill>
                <a:gsLst>
                  <a:gs pos="11000">
                    <a:schemeClr val="bg1">
                      <a:lumMod val="50000"/>
                    </a:schemeClr>
                  </a:gs>
                  <a:gs pos="83000">
                    <a:schemeClr val="bg1">
                      <a:lumMod val="50000"/>
                    </a:schemeClr>
                  </a:gs>
                </a:gsLst>
                <a:lin ang="10800000" scaled="0"/>
              </a:gradFill>
              <a:ln w="19050">
                <a:solidFill>
                  <a:schemeClr val="lt1"/>
                </a:solidFill>
              </a:ln>
              <a:effectLst/>
            </c:spPr>
            <c:extLst>
              <c:ext xmlns:c16="http://schemas.microsoft.com/office/drawing/2014/chart" uri="{C3380CC4-5D6E-409C-BE32-E72D297353CC}">
                <c16:uniqueId val="{00000009-0BE6-4436-89F0-9975658D4739}"/>
              </c:ext>
            </c:extLst>
          </c:dPt>
          <c:dPt>
            <c:idx val="1"/>
            <c:bubble3D val="0"/>
            <c:spPr>
              <a:gradFill>
                <a:gsLst>
                  <a:gs pos="0">
                    <a:schemeClr val="accent1">
                      <a:lumMod val="75000"/>
                    </a:schemeClr>
                  </a:gs>
                  <a:gs pos="61000">
                    <a:schemeClr val="accent2">
                      <a:lumMod val="75000"/>
                    </a:schemeClr>
                  </a:gs>
                </a:gsLst>
                <a:lin ang="10800000" scaled="0"/>
              </a:gradFill>
              <a:ln w="19050">
                <a:noFill/>
              </a:ln>
              <a:effectLst/>
            </c:spPr>
            <c:extLst>
              <c:ext xmlns:c16="http://schemas.microsoft.com/office/drawing/2014/chart" uri="{C3380CC4-5D6E-409C-BE32-E72D297353CC}">
                <c16:uniqueId val="{00000008-0BE6-4436-89F0-9975658D4739}"/>
              </c:ext>
            </c:extLst>
          </c:dPt>
          <c:dPt>
            <c:idx val="2"/>
            <c:bubble3D val="0"/>
            <c:spPr>
              <a:gradFill>
                <a:gsLst>
                  <a:gs pos="82301">
                    <a:schemeClr val="bg2">
                      <a:lumMod val="50000"/>
                    </a:schemeClr>
                  </a:gs>
                  <a:gs pos="17000">
                    <a:schemeClr val="accent1">
                      <a:lumMod val="60000"/>
                      <a:lumOff val="40000"/>
                    </a:schemeClr>
                  </a:gs>
                  <a:gs pos="61000">
                    <a:schemeClr val="bg1">
                      <a:lumMod val="50000"/>
                    </a:schemeClr>
                  </a:gs>
                </a:gsLst>
                <a:lin ang="10800000" scaled="0"/>
              </a:gradFill>
              <a:ln w="19050">
                <a:solidFill>
                  <a:schemeClr val="lt1"/>
                </a:solidFill>
              </a:ln>
              <a:effectLst/>
            </c:spPr>
            <c:extLst>
              <c:ext xmlns:c16="http://schemas.microsoft.com/office/drawing/2014/chart" uri="{C3380CC4-5D6E-409C-BE32-E72D297353CC}">
                <c16:uniqueId val="{0000000A-0BE6-4436-89F0-9975658D4739}"/>
              </c:ext>
            </c:extLst>
          </c:dPt>
          <c:dLbls>
            <c:spPr>
              <a:noFill/>
              <a:ln>
                <a:noFill/>
              </a:ln>
              <a:effectLst/>
            </c:spPr>
            <c:txPr>
              <a:bodyPr wrap="square" lIns="38100" tIns="19050" rIns="38100" bIns="19050" anchor="ctr">
                <a:spAutoFit/>
              </a:bodyPr>
              <a:lstStyle/>
              <a:p>
                <a:pPr>
                  <a:defRPr b="1"/>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7-0BE6-4436-89F0-9975658D47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dashboard.xlsx]Age Wise Attrition!Age Wise Attrition</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3902">
                <a:srgbClr val="568DC5"/>
              </a:gs>
              <a:gs pos="0">
                <a:schemeClr val="accent5">
                  <a:lumMod val="50000"/>
                </a:schemeClr>
              </a:gs>
              <a:gs pos="58424">
                <a:schemeClr val="accent1">
                  <a:lumMod val="75000"/>
                </a:schemeClr>
              </a:gs>
              <a:gs pos="37178">
                <a:schemeClr val="accent5">
                  <a:lumMod val="75000"/>
                </a:schemeClr>
              </a:gs>
              <a:gs pos="74000">
                <a:schemeClr val="accent2">
                  <a:lumMod val="75000"/>
                </a:schemeClr>
              </a:gs>
              <a:gs pos="83000">
                <a:schemeClr val="accent2">
                  <a:lumMod val="75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c:f>
              <c:strCache>
                <c:ptCount val="1"/>
                <c:pt idx="0">
                  <c:v>Total</c:v>
                </c:pt>
              </c:strCache>
            </c:strRef>
          </c:tx>
          <c:spPr>
            <a:gradFill>
              <a:gsLst>
                <a:gs pos="23902">
                  <a:srgbClr val="568DC5"/>
                </a:gs>
                <a:gs pos="0">
                  <a:schemeClr val="accent5">
                    <a:lumMod val="50000"/>
                  </a:schemeClr>
                </a:gs>
                <a:gs pos="58424">
                  <a:schemeClr val="accent1">
                    <a:lumMod val="75000"/>
                  </a:schemeClr>
                </a:gs>
                <a:gs pos="37178">
                  <a:schemeClr val="accent5">
                    <a:lumMod val="75000"/>
                  </a:schemeClr>
                </a:gs>
                <a:gs pos="74000">
                  <a:schemeClr val="accent2">
                    <a:lumMod val="75000"/>
                  </a:schemeClr>
                </a:gs>
                <a:gs pos="83000">
                  <a:schemeClr val="accent2">
                    <a:lumMod val="75000"/>
                  </a:schemeClr>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Attrition'!$A$4:$A$9</c:f>
              <c:strCache>
                <c:ptCount val="5"/>
                <c:pt idx="0">
                  <c:v>25 - 34</c:v>
                </c:pt>
                <c:pt idx="1">
                  <c:v>35 - 44</c:v>
                </c:pt>
                <c:pt idx="2">
                  <c:v>Under 25</c:v>
                </c:pt>
                <c:pt idx="3">
                  <c:v>45 - 54</c:v>
                </c:pt>
                <c:pt idx="4">
                  <c:v>Over 55</c:v>
                </c:pt>
              </c:strCache>
            </c:strRef>
          </c:cat>
          <c:val>
            <c:numRef>
              <c:f>'Age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3C5-42D0-83E3-4A8FD7A01675}"/>
            </c:ext>
          </c:extLst>
        </c:ser>
        <c:dLbls>
          <c:dLblPos val="outEnd"/>
          <c:showLegendKey val="0"/>
          <c:showVal val="1"/>
          <c:showCatName val="0"/>
          <c:showSerName val="0"/>
          <c:showPercent val="0"/>
          <c:showBubbleSize val="0"/>
        </c:dLbls>
        <c:gapWidth val="179"/>
        <c:overlap val="-27"/>
        <c:axId val="427769720"/>
        <c:axId val="427771032"/>
      </c:barChart>
      <c:catAx>
        <c:axId val="427769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27771032"/>
        <c:crosses val="autoZero"/>
        <c:auto val="1"/>
        <c:lblAlgn val="ctr"/>
        <c:lblOffset val="100"/>
        <c:noMultiLvlLbl val="0"/>
      </c:catAx>
      <c:valAx>
        <c:axId val="427771032"/>
        <c:scaling>
          <c:orientation val="minMax"/>
        </c:scaling>
        <c:delete val="1"/>
        <c:axPos val="l"/>
        <c:numFmt formatCode="General" sourceLinked="1"/>
        <c:majorTickMark val="none"/>
        <c:minorTickMark val="none"/>
        <c:tickLblPos val="nextTo"/>
        <c:crossAx val="427769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2DB7980-4DEB-4D93-95E2-7D32DE57A657}">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
        <cx:txData>
          <cx:v>Attrition</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rgbClr val="000000">
                  <a:lumMod val="65000"/>
                  <a:lumOff val="35000"/>
                </a:srgbClr>
              </a:solidFill>
              <a:latin typeface="+mn-lt"/>
              <a:ea typeface="+mn-ea"/>
              <a:cs typeface="+mn-cs"/>
            </a:defRPr>
          </a:pPr>
          <a:r>
            <a:rPr kumimoji="0" lang="en-US" sz="1400" b="0" i="0" u="none" strike="noStrike" kern="1200" cap="none" spc="0" normalizeH="0" baseline="0" noProof="0">
              <a:ln>
                <a:noFill/>
              </a:ln>
              <a:solidFill>
                <a:srgbClr val="000000">
                  <a:lumMod val="65000"/>
                  <a:lumOff val="35000"/>
                </a:srgbClr>
              </a:solidFill>
              <a:effectLst/>
              <a:uLnTx/>
              <a:uFillTx/>
              <a:latin typeface="Calibri"/>
              <a:cs typeface="Calibri"/>
            </a:rPr>
            <a:t>Attrition</a:t>
          </a:r>
        </a:p>
      </cx:txPr>
    </cx:title>
    <cx:plotArea>
      <cx:plotAreaRegion>
        <cx:series layoutId="funnel" uniqueId="{437E6FC3-EA2D-43D2-82E0-4C278DBF5D46}">
          <cx:tx>
            <cx:txData>
              <cx:f>_xlchart.v2.3</cx:f>
              <cx:v>Attrition</cx:v>
            </cx:txData>
          </cx:tx>
          <cx:dataLabels>
            <cx:visibility seriesName="0" categoryName="0" value="1"/>
          </cx:dataLabels>
          <cx:dataId val="0"/>
        </cx:series>
      </cx:plotAreaRegion>
      <cx:axis id="0">
        <cx:catScaling gapWidth="2.19000006"/>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E2DB7980-4DEB-4D93-95E2-7D32DE57A657}">
          <cx:dataPt idx="2">
            <cx:spPr>
              <a:solidFill>
                <a:srgbClr val="FFFFFF">
                  <a:lumMod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437E6FC3-EA2D-43D2-82E0-4C278DBF5D46}">
          <cx:tx>
            <cx:txData>
              <cx:f>_xlchart.v2.8</cx:f>
              <cx:v>Attrition</cx:v>
            </cx:txData>
          </cx:tx>
          <cx:spPr>
            <a:gradFill>
              <a:gsLst>
                <a:gs pos="23902">
                  <a:srgbClr val="568DC5"/>
                </a:gs>
                <a:gs pos="0">
                  <a:schemeClr val="accent2">
                    <a:lumMod val="50000"/>
                  </a:schemeClr>
                </a:gs>
                <a:gs pos="58424">
                  <a:schemeClr val="accent1">
                    <a:lumMod val="75000"/>
                  </a:schemeClr>
                </a:gs>
                <a:gs pos="37178">
                  <a:schemeClr val="accent5">
                    <a:lumMod val="75000"/>
                  </a:schemeClr>
                </a:gs>
                <a:gs pos="74000">
                  <a:schemeClr val="accent2">
                    <a:lumMod val="75000"/>
                  </a:schemeClr>
                </a:gs>
                <a:gs pos="83000">
                  <a:schemeClr val="accent2">
                    <a:lumMod val="75000"/>
                  </a:schemeClr>
                </a:gs>
                <a:gs pos="100000">
                  <a:schemeClr val="accent2">
                    <a:lumMod val="50000"/>
                  </a:schemeClr>
                </a:gs>
              </a:gsLst>
              <a:lin ang="5400000" scaled="1"/>
            </a:gradFill>
          </cx:spPr>
          <cx:dataPt idx="0">
            <cx:spPr>
              <a:gradFill>
                <a:gsLst>
                  <a:gs pos="100000">
                    <a:srgbClr val="5B9BD5">
                      <a:lumMod val="50000"/>
                    </a:srgbClr>
                  </a:gs>
                  <a:gs pos="0">
                    <a:srgbClr val="ED7D31">
                      <a:lumMod val="50000"/>
                    </a:srgbClr>
                  </a:gs>
                </a:gsLst>
              </a:gradFill>
            </cx:spPr>
          </cx:dataPt>
          <cx:dataPt idx="1">
            <cx:spPr>
              <a:gradFill>
                <a:gsLst>
                  <a:gs pos="100000">
                    <a:srgbClr val="5B9BD5">
                      <a:lumMod val="50000"/>
                    </a:srgbClr>
                  </a:gs>
                  <a:gs pos="0">
                    <a:srgbClr val="ED7D31">
                      <a:lumMod val="50000"/>
                    </a:srgbClr>
                  </a:gs>
                </a:gsLst>
              </a:gradFill>
            </cx:spPr>
          </cx:dataPt>
          <cx:dataPt idx="2">
            <cx:spPr>
              <a:gradFill>
                <a:gsLst>
                  <a:gs pos="100000">
                    <a:srgbClr val="5B9BD5">
                      <a:lumMod val="50000"/>
                    </a:srgbClr>
                  </a:gs>
                  <a:gs pos="0">
                    <a:srgbClr val="ED7D31">
                      <a:lumMod val="50000"/>
                    </a:srgbClr>
                  </a:gs>
                </a:gsLst>
              </a:gradFill>
            </cx:spPr>
          </cx:dataPt>
          <cx:dataLabels>
            <cx:visibility seriesName="0" categoryName="0" value="1"/>
          </cx:dataLabels>
          <cx:dataId val="0"/>
        </cx:series>
      </cx:plotAreaRegion>
      <cx:axis id="0">
        <cx:catScaling gapWidth="0.25"/>
        <cx:tickLabels/>
        <cx:txPr>
          <a:bodyPr spcFirstLastPara="1" vertOverflow="ellipsis" horzOverflow="overflow" wrap="square" lIns="0" tIns="0" rIns="0" bIns="0" anchor="ctr" anchorCtr="1"/>
          <a:lstStyle/>
          <a:p>
            <a:pPr algn="ctr" rtl="0">
              <a:defRPr sz="1050" b="1"/>
            </a:pPr>
            <a:endParaRPr lang="en-US" sz="1050" b="1" i="0" u="none" strike="noStrike" kern="1200"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1.svg"/><Relationship Id="rId18"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10.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20"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9.svg"/><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image" Target="../media/image8.png"/><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485775</xdr:colOff>
      <xdr:row>1</xdr:row>
      <xdr:rowOff>123824</xdr:rowOff>
    </xdr:from>
    <xdr:to>
      <xdr:col>13</xdr:col>
      <xdr:colOff>147637</xdr:colOff>
      <xdr:row>13</xdr:row>
      <xdr:rowOff>23811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EF8C2FB-C6D0-4C92-A3E2-8C7A425314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86575" y="323849"/>
              <a:ext cx="5148262" cy="2300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566737</xdr:colOff>
      <xdr:row>13</xdr:row>
      <xdr:rowOff>109537</xdr:rowOff>
    </xdr:from>
    <xdr:to>
      <xdr:col>5</xdr:col>
      <xdr:colOff>552450</xdr:colOff>
      <xdr:row>22</xdr:row>
      <xdr:rowOff>114300</xdr:rowOff>
    </xdr:to>
    <xdr:graphicFrame macro="">
      <xdr:nvGraphicFramePr>
        <xdr:cNvPr id="2" name="Chart 1">
          <a:extLst>
            <a:ext uri="{FF2B5EF4-FFF2-40B4-BE49-F238E27FC236}">
              <a16:creationId xmlns:a16="http://schemas.microsoft.com/office/drawing/2014/main" id="{489CEFF5-4418-4A1B-9A9A-FAF41AE05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290512</xdr:colOff>
      <xdr:row>6</xdr:row>
      <xdr:rowOff>33337</xdr:rowOff>
    </xdr:from>
    <xdr:to>
      <xdr:col>11</xdr:col>
      <xdr:colOff>61912</xdr:colOff>
      <xdr:row>19</xdr:row>
      <xdr:rowOff>176212</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1F1966B-A242-4CD7-84A3-23D1EA25FD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12334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485775</xdr:colOff>
      <xdr:row>2</xdr:row>
      <xdr:rowOff>57150</xdr:rowOff>
    </xdr:from>
    <xdr:to>
      <xdr:col>9</xdr:col>
      <xdr:colOff>257175</xdr:colOff>
      <xdr:row>7</xdr:row>
      <xdr:rowOff>38100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929753E-4E76-407D-B7A8-040C8BF5FD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01050" y="4572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9524</xdr:colOff>
      <xdr:row>13</xdr:row>
      <xdr:rowOff>38100</xdr:rowOff>
    </xdr:from>
    <xdr:to>
      <xdr:col>10</xdr:col>
      <xdr:colOff>614361</xdr:colOff>
      <xdr:row>19</xdr:row>
      <xdr:rowOff>176212</xdr:rowOff>
    </xdr:to>
    <xdr:graphicFrame macro="">
      <xdr:nvGraphicFramePr>
        <xdr:cNvPr id="4" name="Chart 3">
          <a:extLst>
            <a:ext uri="{FF2B5EF4-FFF2-40B4-BE49-F238E27FC236}">
              <a16:creationId xmlns:a16="http://schemas.microsoft.com/office/drawing/2014/main" id="{00985EB9-3AAC-490B-AC5C-556C4240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138112</xdr:colOff>
      <xdr:row>8</xdr:row>
      <xdr:rowOff>100012</xdr:rowOff>
    </xdr:from>
    <xdr:to>
      <xdr:col>8</xdr:col>
      <xdr:colOff>519112</xdr:colOff>
      <xdr:row>22</xdr:row>
      <xdr:rowOff>42862</xdr:rowOff>
    </xdr:to>
    <xdr:graphicFrame macro="">
      <xdr:nvGraphicFramePr>
        <xdr:cNvPr id="2" name="Chart 1">
          <a:extLst>
            <a:ext uri="{FF2B5EF4-FFF2-40B4-BE49-F238E27FC236}">
              <a16:creationId xmlns:a16="http://schemas.microsoft.com/office/drawing/2014/main" id="{611F824D-96C2-4D1E-AD8C-48291E7E2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314325</xdr:colOff>
      <xdr:row>5</xdr:row>
      <xdr:rowOff>104775</xdr:rowOff>
    </xdr:from>
    <xdr:to>
      <xdr:col>13</xdr:col>
      <xdr:colOff>85725</xdr:colOff>
      <xdr:row>16</xdr:row>
      <xdr:rowOff>180975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7EF499F4-2A6A-4EE2-A004-5CF23FD4FD2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267700" y="1104900"/>
              <a:ext cx="182880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190500</xdr:rowOff>
    </xdr:from>
    <xdr:to>
      <xdr:col>9</xdr:col>
      <xdr:colOff>190500</xdr:colOff>
      <xdr:row>12</xdr:row>
      <xdr:rowOff>123825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9E38D95-21E7-46E8-A573-8E59099B1B5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29275" y="139065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161924</xdr:colOff>
      <xdr:row>10</xdr:row>
      <xdr:rowOff>161925</xdr:rowOff>
    </xdr:from>
    <xdr:to>
      <xdr:col>1</xdr:col>
      <xdr:colOff>985836</xdr:colOff>
      <xdr:row>20</xdr:row>
      <xdr:rowOff>71437</xdr:rowOff>
    </xdr:to>
    <xdr:graphicFrame macro="">
      <xdr:nvGraphicFramePr>
        <xdr:cNvPr id="4" name="Chart 3">
          <a:extLst>
            <a:ext uri="{FF2B5EF4-FFF2-40B4-BE49-F238E27FC236}">
              <a16:creationId xmlns:a16="http://schemas.microsoft.com/office/drawing/2014/main" id="{59892655-ADFC-4404-BB53-76FE26597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1409700</xdr:colOff>
      <xdr:row>10</xdr:row>
      <xdr:rowOff>142875</xdr:rowOff>
    </xdr:from>
    <xdr:to>
      <xdr:col>4</xdr:col>
      <xdr:colOff>242887</xdr:colOff>
      <xdr:row>20</xdr:row>
      <xdr:rowOff>52387</xdr:rowOff>
    </xdr:to>
    <xdr:graphicFrame macro="">
      <xdr:nvGraphicFramePr>
        <xdr:cNvPr id="5" name="Chart 4">
          <a:extLst>
            <a:ext uri="{FF2B5EF4-FFF2-40B4-BE49-F238E27FC236}">
              <a16:creationId xmlns:a16="http://schemas.microsoft.com/office/drawing/2014/main" id="{4BFC089D-7F0C-46F9-80B6-10FF65FB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1681162</xdr:colOff>
      <xdr:row>5</xdr:row>
      <xdr:rowOff>109537</xdr:rowOff>
    </xdr:from>
    <xdr:to>
      <xdr:col>9</xdr:col>
      <xdr:colOff>414337</xdr:colOff>
      <xdr:row>19</xdr:row>
      <xdr:rowOff>52387</xdr:rowOff>
    </xdr:to>
    <xdr:graphicFrame macro="">
      <xdr:nvGraphicFramePr>
        <xdr:cNvPr id="2" name="Chart 1">
          <a:extLst>
            <a:ext uri="{FF2B5EF4-FFF2-40B4-BE49-F238E27FC236}">
              <a16:creationId xmlns:a16="http://schemas.microsoft.com/office/drawing/2014/main" id="{41081843-6B9E-4C4F-815A-93799C6EE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466725</xdr:colOff>
      <xdr:row>7</xdr:row>
      <xdr:rowOff>47625</xdr:rowOff>
    </xdr:from>
    <xdr:to>
      <xdr:col>13</xdr:col>
      <xdr:colOff>238125</xdr:colOff>
      <xdr:row>14</xdr:row>
      <xdr:rowOff>38100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76A0FDB-3296-45B7-A93B-54243B92DE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77425" y="144780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504825</xdr:colOff>
      <xdr:row>14</xdr:row>
      <xdr:rowOff>161925</xdr:rowOff>
    </xdr:from>
    <xdr:to>
      <xdr:col>13</xdr:col>
      <xdr:colOff>276225</xdr:colOff>
      <xdr:row>25</xdr:row>
      <xdr:rowOff>123825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6A07EBFF-5C81-42C2-99C7-62C6D250431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915525" y="2962275"/>
              <a:ext cx="1828800"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438149</xdr:colOff>
      <xdr:row>8</xdr:row>
      <xdr:rowOff>66675</xdr:rowOff>
    </xdr:from>
    <xdr:ext cx="504825" cy="60960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4972049" y="1590675"/>
          <a:ext cx="504825" cy="609600"/>
        </a:xfrm>
        <a:prstGeom prst="rect">
          <a:avLst/>
        </a:prstGeom>
        <a:solidFill>
          <a:schemeClr val="tx1">
            <a:lumMod val="95000"/>
            <a:lumOff val="5000"/>
          </a:schemeClr>
        </a:solid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164075</xdr:colOff>
      <xdr:row>1</xdr:row>
      <xdr:rowOff>186011</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461684" y="379272"/>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bg1">
                <a:lumMod val="8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67630" y="270899"/>
              <a:ext cx="5458070" cy="834001"/>
            </a:xfrm>
            <a:prstGeom prst="roundRect">
              <a:avLst>
                <a:gd name="adj" fmla="val 10000"/>
              </a:avLst>
            </a:prstGeom>
            <a:solidFill>
              <a:schemeClr val="bg1">
                <a:lumMod val="8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78287</xdr:colOff>
      <xdr:row>7</xdr:row>
      <xdr:rowOff>26096</xdr:rowOff>
    </xdr:from>
    <xdr:to>
      <xdr:col>6</xdr:col>
      <xdr:colOff>574109</xdr:colOff>
      <xdr:row>9</xdr:row>
      <xdr:rowOff>65239</xdr:rowOff>
    </xdr:to>
    <xdr:sp macro="" textlink="">
      <xdr:nvSpPr>
        <xdr:cNvPr id="3" name="TextBox 2">
          <a:extLst>
            <a:ext uri="{FF2B5EF4-FFF2-40B4-BE49-F238E27FC236}">
              <a16:creationId xmlns:a16="http://schemas.microsoft.com/office/drawing/2014/main" id="{BC637CF5-654B-47A1-9DD9-0E600584AB3F}"/>
            </a:ext>
          </a:extLst>
        </xdr:cNvPr>
        <xdr:cNvSpPr txBox="1"/>
      </xdr:nvSpPr>
      <xdr:spPr>
        <a:xfrm>
          <a:off x="2035479" y="1396130"/>
          <a:ext cx="2453014"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accent2">
                  <a:lumMod val="50000"/>
                </a:schemeClr>
              </a:solidFill>
            </a:rPr>
            <a:t>Total Employe</a:t>
          </a:r>
        </a:p>
      </xdr:txBody>
    </xdr:sp>
    <xdr:clientData/>
  </xdr:twoCellAnchor>
  <xdr:twoCellAnchor>
    <xdr:from>
      <xdr:col>2</xdr:col>
      <xdr:colOff>613253</xdr:colOff>
      <xdr:row>8</xdr:row>
      <xdr:rowOff>169624</xdr:rowOff>
    </xdr:from>
    <xdr:to>
      <xdr:col>6</xdr:col>
      <xdr:colOff>26095</xdr:colOff>
      <xdr:row>11</xdr:row>
      <xdr:rowOff>65240</xdr:rowOff>
    </xdr:to>
    <xdr:sp macro="" textlink="KPI!A8">
      <xdr:nvSpPr>
        <xdr:cNvPr id="5" name="TextBox 4">
          <a:extLst>
            <a:ext uri="{FF2B5EF4-FFF2-40B4-BE49-F238E27FC236}">
              <a16:creationId xmlns:a16="http://schemas.microsoft.com/office/drawing/2014/main" id="{8067E1AB-A39C-4D78-B272-50A1886F19C5}"/>
            </a:ext>
          </a:extLst>
        </xdr:cNvPr>
        <xdr:cNvSpPr txBox="1"/>
      </xdr:nvSpPr>
      <xdr:spPr>
        <a:xfrm>
          <a:off x="1918048" y="1735377"/>
          <a:ext cx="2022431" cy="48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60DE5F-8840-4146-B870-24635DD80E7A}" type="TxLink">
            <a:rPr lang="en-US" sz="2800" b="1" i="0" u="none" strike="noStrike">
              <a:solidFill>
                <a:schemeClr val="accent5">
                  <a:lumMod val="50000"/>
                </a:schemeClr>
              </a:solidFill>
              <a:latin typeface="Calibri"/>
              <a:cs typeface="Calibri"/>
            </a:rPr>
            <a:pPr algn="ctr"/>
            <a:t>1470</a:t>
          </a:fld>
          <a:endParaRPr lang="en-US" sz="2800" b="1">
            <a:solidFill>
              <a:schemeClr val="accent5">
                <a:lumMod val="50000"/>
              </a:schemeClr>
            </a:solidFill>
          </a:endParaRPr>
        </a:p>
      </xdr:txBody>
    </xdr:sp>
    <xdr:clientData/>
  </xdr:twoCellAnchor>
  <xdr:twoCellAnchor>
    <xdr:from>
      <xdr:col>7</xdr:col>
      <xdr:colOff>21928</xdr:colOff>
      <xdr:row>7</xdr:row>
      <xdr:rowOff>8873</xdr:rowOff>
    </xdr:from>
    <xdr:to>
      <xdr:col>10</xdr:col>
      <xdr:colOff>517750</xdr:colOff>
      <xdr:row>9</xdr:row>
      <xdr:rowOff>48016</xdr:rowOff>
    </xdr:to>
    <xdr:sp macro="" textlink="">
      <xdr:nvSpPr>
        <xdr:cNvPr id="54" name="TextBox 53">
          <a:extLst>
            <a:ext uri="{FF2B5EF4-FFF2-40B4-BE49-F238E27FC236}">
              <a16:creationId xmlns:a16="http://schemas.microsoft.com/office/drawing/2014/main" id="{46D1D1E0-82F2-4BBD-B848-E36C9D83A479}"/>
            </a:ext>
          </a:extLst>
        </xdr:cNvPr>
        <xdr:cNvSpPr txBox="1"/>
      </xdr:nvSpPr>
      <xdr:spPr>
        <a:xfrm>
          <a:off x="4588709" y="1378907"/>
          <a:ext cx="2453014"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50000"/>
                </a:schemeClr>
              </a:solidFill>
            </a:rPr>
            <a:t>     Attrition</a:t>
          </a:r>
        </a:p>
      </xdr:txBody>
    </xdr:sp>
    <xdr:clientData/>
  </xdr:twoCellAnchor>
  <xdr:twoCellAnchor>
    <xdr:from>
      <xdr:col>7</xdr:col>
      <xdr:colOff>322030</xdr:colOff>
      <xdr:row>8</xdr:row>
      <xdr:rowOff>178496</xdr:rowOff>
    </xdr:from>
    <xdr:to>
      <xdr:col>10</xdr:col>
      <xdr:colOff>387269</xdr:colOff>
      <xdr:row>11</xdr:row>
      <xdr:rowOff>74112</xdr:rowOff>
    </xdr:to>
    <xdr:sp macro="" textlink="KPI!C8">
      <xdr:nvSpPr>
        <xdr:cNvPr id="55" name="TextBox 54">
          <a:extLst>
            <a:ext uri="{FF2B5EF4-FFF2-40B4-BE49-F238E27FC236}">
              <a16:creationId xmlns:a16="http://schemas.microsoft.com/office/drawing/2014/main" id="{6B86E09E-D25C-4E35-BE0C-188382FA7311}"/>
            </a:ext>
          </a:extLst>
        </xdr:cNvPr>
        <xdr:cNvSpPr txBox="1"/>
      </xdr:nvSpPr>
      <xdr:spPr>
        <a:xfrm>
          <a:off x="4888811" y="1744249"/>
          <a:ext cx="2022431" cy="48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397E73-CEF9-49F0-9273-116CD85DD3F1}" type="TxLink">
            <a:rPr lang="en-US" sz="2800" b="1" i="0" u="none" strike="noStrike">
              <a:solidFill>
                <a:schemeClr val="accent5">
                  <a:lumMod val="50000"/>
                </a:schemeClr>
              </a:solidFill>
              <a:latin typeface="Calibri"/>
              <a:cs typeface="Calibri"/>
            </a:rPr>
            <a:pPr algn="ctr"/>
            <a:t>237</a:t>
          </a:fld>
          <a:endParaRPr lang="en-US" sz="2800" b="1">
            <a:solidFill>
              <a:schemeClr val="accent5">
                <a:lumMod val="50000"/>
              </a:schemeClr>
            </a:solidFill>
          </a:endParaRPr>
        </a:p>
      </xdr:txBody>
    </xdr:sp>
    <xdr:clientData/>
  </xdr:twoCellAnchor>
  <xdr:twoCellAnchor>
    <xdr:from>
      <xdr:col>11</xdr:col>
      <xdr:colOff>484408</xdr:colOff>
      <xdr:row>7</xdr:row>
      <xdr:rowOff>17744</xdr:rowOff>
    </xdr:from>
    <xdr:to>
      <xdr:col>15</xdr:col>
      <xdr:colOff>335892</xdr:colOff>
      <xdr:row>9</xdr:row>
      <xdr:rowOff>56887</xdr:rowOff>
    </xdr:to>
    <xdr:sp macro="" textlink="">
      <xdr:nvSpPr>
        <xdr:cNvPr id="56" name="TextBox 55">
          <a:extLst>
            <a:ext uri="{FF2B5EF4-FFF2-40B4-BE49-F238E27FC236}">
              <a16:creationId xmlns:a16="http://schemas.microsoft.com/office/drawing/2014/main" id="{892E151F-204C-4F1C-85CB-C0B00D8A5EDF}"/>
            </a:ext>
          </a:extLst>
        </xdr:cNvPr>
        <xdr:cNvSpPr txBox="1"/>
      </xdr:nvSpPr>
      <xdr:spPr>
        <a:xfrm>
          <a:off x="7572129" y="1390465"/>
          <a:ext cx="2428837" cy="431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accent2">
                  <a:lumMod val="50000"/>
                </a:schemeClr>
              </a:solidFill>
            </a:rPr>
            <a:t>Active</a:t>
          </a:r>
          <a:r>
            <a:rPr lang="en-US" sz="2000" b="1" baseline="0">
              <a:solidFill>
                <a:schemeClr val="accent2">
                  <a:lumMod val="50000"/>
                </a:schemeClr>
              </a:solidFill>
            </a:rPr>
            <a:t> Employee</a:t>
          </a:r>
          <a:endParaRPr lang="en-US" sz="2000" b="1">
            <a:solidFill>
              <a:schemeClr val="accent2">
                <a:lumMod val="50000"/>
              </a:schemeClr>
            </a:solidFill>
          </a:endParaRPr>
        </a:p>
      </xdr:txBody>
    </xdr:sp>
    <xdr:clientData/>
  </xdr:twoCellAnchor>
  <xdr:twoCellAnchor>
    <xdr:from>
      <xdr:col>12</xdr:col>
      <xdr:colOff>56897</xdr:colOff>
      <xdr:row>8</xdr:row>
      <xdr:rowOff>174320</xdr:rowOff>
    </xdr:from>
    <xdr:to>
      <xdr:col>15</xdr:col>
      <xdr:colOff>122136</xdr:colOff>
      <xdr:row>11</xdr:row>
      <xdr:rowOff>69936</xdr:rowOff>
    </xdr:to>
    <xdr:sp macro="" textlink="KPI!E8">
      <xdr:nvSpPr>
        <xdr:cNvPr id="57" name="TextBox 56">
          <a:extLst>
            <a:ext uri="{FF2B5EF4-FFF2-40B4-BE49-F238E27FC236}">
              <a16:creationId xmlns:a16="http://schemas.microsoft.com/office/drawing/2014/main" id="{4FB7794D-365C-443C-B8BE-B3E249DFE8C7}"/>
            </a:ext>
          </a:extLst>
        </xdr:cNvPr>
        <xdr:cNvSpPr txBox="1"/>
      </xdr:nvSpPr>
      <xdr:spPr>
        <a:xfrm>
          <a:off x="7885664" y="1740073"/>
          <a:ext cx="2022431" cy="48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188376-89D7-4462-8321-A5B47FC3F34F}" type="TxLink">
            <a:rPr lang="en-US" sz="2800" b="1" i="0" u="none" strike="noStrike">
              <a:solidFill>
                <a:schemeClr val="accent5">
                  <a:lumMod val="50000"/>
                </a:schemeClr>
              </a:solidFill>
              <a:latin typeface="Calibri"/>
              <a:cs typeface="Calibri"/>
            </a:rPr>
            <a:pPr algn="ctr"/>
            <a:t>1233</a:t>
          </a:fld>
          <a:endParaRPr lang="en-US" sz="2800" b="1">
            <a:solidFill>
              <a:schemeClr val="accent5">
                <a:lumMod val="50000"/>
              </a:schemeClr>
            </a:solidFill>
          </a:endParaRPr>
        </a:p>
      </xdr:txBody>
    </xdr:sp>
    <xdr:clientData/>
  </xdr:twoCellAnchor>
  <xdr:twoCellAnchor>
    <xdr:from>
      <xdr:col>16</xdr:col>
      <xdr:colOff>509399</xdr:colOff>
      <xdr:row>7</xdr:row>
      <xdr:rowOff>39665</xdr:rowOff>
    </xdr:from>
    <xdr:to>
      <xdr:col>20</xdr:col>
      <xdr:colOff>352824</xdr:colOff>
      <xdr:row>9</xdr:row>
      <xdr:rowOff>78808</xdr:rowOff>
    </xdr:to>
    <xdr:sp macro="" textlink="">
      <xdr:nvSpPr>
        <xdr:cNvPr id="58" name="TextBox 57">
          <a:extLst>
            <a:ext uri="{FF2B5EF4-FFF2-40B4-BE49-F238E27FC236}">
              <a16:creationId xmlns:a16="http://schemas.microsoft.com/office/drawing/2014/main" id="{665B79D6-C8D9-4B21-8B72-0CF597D3B53D}"/>
            </a:ext>
          </a:extLst>
        </xdr:cNvPr>
        <xdr:cNvSpPr txBox="1"/>
      </xdr:nvSpPr>
      <xdr:spPr>
        <a:xfrm>
          <a:off x="10947755" y="1409699"/>
          <a:ext cx="2453014"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accent2">
                  <a:lumMod val="50000"/>
                </a:schemeClr>
              </a:solidFill>
            </a:rPr>
            <a:t>Attrition Rate</a:t>
          </a:r>
        </a:p>
      </xdr:txBody>
    </xdr:sp>
    <xdr:clientData/>
  </xdr:twoCellAnchor>
  <xdr:twoCellAnchor>
    <xdr:from>
      <xdr:col>16</xdr:col>
      <xdr:colOff>365872</xdr:colOff>
      <xdr:row>8</xdr:row>
      <xdr:rowOff>131002</xdr:rowOff>
    </xdr:from>
    <xdr:to>
      <xdr:col>19</xdr:col>
      <xdr:colOff>431111</xdr:colOff>
      <xdr:row>11</xdr:row>
      <xdr:rowOff>26618</xdr:rowOff>
    </xdr:to>
    <xdr:sp macro="" textlink="KPI!F8">
      <xdr:nvSpPr>
        <xdr:cNvPr id="59" name="TextBox 58">
          <a:extLst>
            <a:ext uri="{FF2B5EF4-FFF2-40B4-BE49-F238E27FC236}">
              <a16:creationId xmlns:a16="http://schemas.microsoft.com/office/drawing/2014/main" id="{4C8EDE6D-21C8-4613-A271-79366765EBD4}"/>
            </a:ext>
          </a:extLst>
        </xdr:cNvPr>
        <xdr:cNvSpPr txBox="1"/>
      </xdr:nvSpPr>
      <xdr:spPr>
        <a:xfrm>
          <a:off x="10804228" y="1696755"/>
          <a:ext cx="2022431" cy="48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466384-253E-46BE-A2E6-585C55E47244}" type="TxLink">
            <a:rPr lang="en-US" sz="2800" b="1" i="0" u="none" strike="noStrike">
              <a:solidFill>
                <a:schemeClr val="accent5">
                  <a:lumMod val="50000"/>
                </a:schemeClr>
              </a:solidFill>
              <a:latin typeface="Calibri"/>
              <a:cs typeface="Calibri"/>
            </a:rPr>
            <a:pPr algn="ctr"/>
            <a:t>16%</a:t>
          </a:fld>
          <a:endParaRPr lang="en-US" sz="2800" b="1">
            <a:solidFill>
              <a:schemeClr val="accent5">
                <a:lumMod val="50000"/>
              </a:schemeClr>
            </a:solidFill>
          </a:endParaRPr>
        </a:p>
      </xdr:txBody>
    </xdr:sp>
    <xdr:clientData/>
  </xdr:twoCellAnchor>
  <xdr:twoCellAnchor>
    <xdr:from>
      <xdr:col>21</xdr:col>
      <xdr:colOff>165976</xdr:colOff>
      <xdr:row>7</xdr:row>
      <xdr:rowOff>48538</xdr:rowOff>
    </xdr:from>
    <xdr:to>
      <xdr:col>25</xdr:col>
      <xdr:colOff>9400</xdr:colOff>
      <xdr:row>9</xdr:row>
      <xdr:rowOff>87681</xdr:rowOff>
    </xdr:to>
    <xdr:sp macro="" textlink="">
      <xdr:nvSpPr>
        <xdr:cNvPr id="60" name="TextBox 59">
          <a:extLst>
            <a:ext uri="{FF2B5EF4-FFF2-40B4-BE49-F238E27FC236}">
              <a16:creationId xmlns:a16="http://schemas.microsoft.com/office/drawing/2014/main" id="{92619396-F8DB-43B5-BAA9-BEE377A7BFB4}"/>
            </a:ext>
          </a:extLst>
        </xdr:cNvPr>
        <xdr:cNvSpPr txBox="1"/>
      </xdr:nvSpPr>
      <xdr:spPr>
        <a:xfrm>
          <a:off x="13866318" y="1418572"/>
          <a:ext cx="2453014"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solidFill>
                <a:schemeClr val="accent2">
                  <a:lumMod val="50000"/>
                </a:schemeClr>
              </a:solidFill>
            </a:rPr>
            <a:t>Average</a:t>
          </a:r>
          <a:r>
            <a:rPr lang="en-US" sz="1800" b="1" baseline="0">
              <a:solidFill>
                <a:schemeClr val="accent2">
                  <a:lumMod val="50000"/>
                </a:schemeClr>
              </a:solidFill>
            </a:rPr>
            <a:t> Age</a:t>
          </a:r>
          <a:r>
            <a:rPr lang="en-US" sz="1800" b="1" baseline="0">
              <a:solidFill>
                <a:schemeClr val="accent2">
                  <a:lumMod val="75000"/>
                </a:schemeClr>
              </a:solidFill>
            </a:rPr>
            <a:t>	</a:t>
          </a:r>
          <a:r>
            <a:rPr lang="en-US" sz="1800" b="1">
              <a:solidFill>
                <a:schemeClr val="accent2">
                  <a:lumMod val="75000"/>
                </a:schemeClr>
              </a:solidFill>
            </a:rPr>
            <a:t>	</a:t>
          </a:r>
        </a:p>
      </xdr:txBody>
    </xdr:sp>
    <xdr:clientData/>
  </xdr:twoCellAnchor>
  <xdr:twoCellAnchor>
    <xdr:from>
      <xdr:col>21</xdr:col>
      <xdr:colOff>48545</xdr:colOff>
      <xdr:row>8</xdr:row>
      <xdr:rowOff>179018</xdr:rowOff>
    </xdr:from>
    <xdr:to>
      <xdr:col>24</xdr:col>
      <xdr:colOff>113784</xdr:colOff>
      <xdr:row>11</xdr:row>
      <xdr:rowOff>74634</xdr:rowOff>
    </xdr:to>
    <xdr:sp macro="" textlink="KPI!D8">
      <xdr:nvSpPr>
        <xdr:cNvPr id="61" name="TextBox 60">
          <a:extLst>
            <a:ext uri="{FF2B5EF4-FFF2-40B4-BE49-F238E27FC236}">
              <a16:creationId xmlns:a16="http://schemas.microsoft.com/office/drawing/2014/main" id="{60C3A29A-1C4D-478B-BA8B-D94162E53F93}"/>
            </a:ext>
          </a:extLst>
        </xdr:cNvPr>
        <xdr:cNvSpPr txBox="1"/>
      </xdr:nvSpPr>
      <xdr:spPr>
        <a:xfrm>
          <a:off x="13748887" y="1744771"/>
          <a:ext cx="2022431" cy="48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FDDF25-01FC-491E-9C85-90EA53BF28DE}" type="TxLink">
            <a:rPr lang="en-US" sz="2800" b="1" i="0" u="none" strike="noStrike">
              <a:solidFill>
                <a:schemeClr val="accent5">
                  <a:lumMod val="50000"/>
                </a:schemeClr>
              </a:solidFill>
              <a:latin typeface="Calibri"/>
              <a:cs typeface="Calibri"/>
            </a:rPr>
            <a:pPr algn="ctr"/>
            <a:t>37</a:t>
          </a:fld>
          <a:endParaRPr lang="en-US" sz="2800" b="1">
            <a:solidFill>
              <a:schemeClr val="accent5">
                <a:lumMod val="50000"/>
              </a:schemeClr>
            </a:solidFill>
          </a:endParaRPr>
        </a:p>
      </xdr:txBody>
    </xdr:sp>
    <xdr:clientData/>
  </xdr:twoCellAnchor>
  <xdr:oneCellAnchor>
    <xdr:from>
      <xdr:col>6</xdr:col>
      <xdr:colOff>0</xdr:colOff>
      <xdr:row>7</xdr:row>
      <xdr:rowOff>112058</xdr:rowOff>
    </xdr:from>
    <xdr:ext cx="420221" cy="462243"/>
    <xdr:pic>
      <xdr:nvPicPr>
        <xdr:cNvPr id="62" name="image4.png">
          <a:extLst>
            <a:ext uri="{FF2B5EF4-FFF2-40B4-BE49-F238E27FC236}">
              <a16:creationId xmlns:a16="http://schemas.microsoft.com/office/drawing/2014/main" id="{12C765C0-4C6C-4180-9D03-31B68F4B8D7F}"/>
            </a:ext>
          </a:extLst>
        </xdr:cNvPr>
        <xdr:cNvPicPr preferRelativeResize="0"/>
      </xdr:nvPicPr>
      <xdr:blipFill>
        <a:blip xmlns:r="http://schemas.openxmlformats.org/officeDocument/2006/relationships" r:embed="rId1" cstate="print"/>
        <a:stretch>
          <a:fillRect/>
        </a:stretch>
      </xdr:blipFill>
      <xdr:spPr>
        <a:xfrm>
          <a:off x="3866029" y="1484779"/>
          <a:ext cx="420221" cy="462243"/>
        </a:xfrm>
        <a:prstGeom prst="rect">
          <a:avLst/>
        </a:prstGeom>
        <a:noFill/>
      </xdr:spPr>
    </xdr:pic>
    <xdr:clientData fLocksWithSheet="0"/>
  </xdr:oneCellAnchor>
  <xdr:oneCellAnchor>
    <xdr:from>
      <xdr:col>14</xdr:col>
      <xdr:colOff>518271</xdr:colOff>
      <xdr:row>7</xdr:row>
      <xdr:rowOff>196101</xdr:rowOff>
    </xdr:from>
    <xdr:ext cx="588309" cy="378199"/>
    <xdr:pic>
      <xdr:nvPicPr>
        <xdr:cNvPr id="63" name="image5.png">
          <a:extLst>
            <a:ext uri="{FF2B5EF4-FFF2-40B4-BE49-F238E27FC236}">
              <a16:creationId xmlns:a16="http://schemas.microsoft.com/office/drawing/2014/main" id="{6D53C909-9863-4900-9B7F-D2A03BE64B35}"/>
            </a:ext>
          </a:extLst>
        </xdr:cNvPr>
        <xdr:cNvPicPr preferRelativeResize="0"/>
      </xdr:nvPicPr>
      <xdr:blipFill>
        <a:blip xmlns:r="http://schemas.openxmlformats.org/officeDocument/2006/relationships" r:embed="rId2" cstate="print"/>
        <a:stretch>
          <a:fillRect/>
        </a:stretch>
      </xdr:blipFill>
      <xdr:spPr>
        <a:xfrm>
          <a:off x="9539006" y="1568822"/>
          <a:ext cx="588309" cy="378199"/>
        </a:xfrm>
        <a:prstGeom prst="rect">
          <a:avLst/>
        </a:prstGeom>
        <a:noFill/>
      </xdr:spPr>
    </xdr:pic>
    <xdr:clientData fLocksWithSheet="0"/>
  </xdr:oneCellAnchor>
  <xdr:oneCellAnchor>
    <xdr:from>
      <xdr:col>19</xdr:col>
      <xdr:colOff>336177</xdr:colOff>
      <xdr:row>7</xdr:row>
      <xdr:rowOff>126066</xdr:rowOff>
    </xdr:from>
    <xdr:ext cx="448235" cy="448235"/>
    <xdr:pic>
      <xdr:nvPicPr>
        <xdr:cNvPr id="64" name="image2.png">
          <a:extLst>
            <a:ext uri="{FF2B5EF4-FFF2-40B4-BE49-F238E27FC236}">
              <a16:creationId xmlns:a16="http://schemas.microsoft.com/office/drawing/2014/main" id="{AF2AA72F-A5C6-4271-932C-9050CCAC1576}"/>
            </a:ext>
          </a:extLst>
        </xdr:cNvPr>
        <xdr:cNvPicPr preferRelativeResize="0"/>
      </xdr:nvPicPr>
      <xdr:blipFill>
        <a:blip xmlns:r="http://schemas.openxmlformats.org/officeDocument/2006/relationships" r:embed="rId3" cstate="print"/>
        <a:stretch>
          <a:fillRect/>
        </a:stretch>
      </xdr:blipFill>
      <xdr:spPr>
        <a:xfrm>
          <a:off x="12578603" y="1498787"/>
          <a:ext cx="448235" cy="448235"/>
        </a:xfrm>
        <a:prstGeom prst="rect">
          <a:avLst/>
        </a:prstGeom>
        <a:noFill/>
      </xdr:spPr>
    </xdr:pic>
    <xdr:clientData fLocksWithSheet="0"/>
  </xdr:oneCellAnchor>
  <xdr:oneCellAnchor>
    <xdr:from>
      <xdr:col>23</xdr:col>
      <xdr:colOff>504265</xdr:colOff>
      <xdr:row>7</xdr:row>
      <xdr:rowOff>144554</xdr:rowOff>
    </xdr:from>
    <xdr:ext cx="434228" cy="406213"/>
    <xdr:pic>
      <xdr:nvPicPr>
        <xdr:cNvPr id="65" name="image6.png">
          <a:extLst>
            <a:ext uri="{FF2B5EF4-FFF2-40B4-BE49-F238E27FC236}">
              <a16:creationId xmlns:a16="http://schemas.microsoft.com/office/drawing/2014/main" id="{B6217D94-E605-48F3-A45B-BBA32DD7DFFA}"/>
            </a:ext>
          </a:extLst>
        </xdr:cNvPr>
        <xdr:cNvPicPr preferRelativeResize="0"/>
      </xdr:nvPicPr>
      <xdr:blipFill>
        <a:blip xmlns:r="http://schemas.openxmlformats.org/officeDocument/2006/relationships" r:embed="rId4" cstate="print"/>
        <a:stretch>
          <a:fillRect/>
        </a:stretch>
      </xdr:blipFill>
      <xdr:spPr>
        <a:xfrm>
          <a:off x="15324044" y="1517275"/>
          <a:ext cx="434228" cy="406213"/>
        </a:xfrm>
        <a:prstGeom prst="rect">
          <a:avLst/>
        </a:prstGeom>
        <a:noFill/>
      </xdr:spPr>
    </xdr:pic>
    <xdr:clientData fLocksWithSheet="0"/>
  </xdr:oneCellAnchor>
  <xdr:oneCellAnchor>
    <xdr:from>
      <xdr:col>10</xdr:col>
      <xdr:colOff>70036</xdr:colOff>
      <xdr:row>7</xdr:row>
      <xdr:rowOff>56029</xdr:rowOff>
    </xdr:from>
    <xdr:ext cx="798420" cy="602316"/>
    <xdr:pic>
      <xdr:nvPicPr>
        <xdr:cNvPr id="66" name="image7.png">
          <a:extLst>
            <a:ext uri="{FF2B5EF4-FFF2-40B4-BE49-F238E27FC236}">
              <a16:creationId xmlns:a16="http://schemas.microsoft.com/office/drawing/2014/main" id="{B138F3E4-4C96-4860-85B0-EA774AFF3C17}"/>
            </a:ext>
          </a:extLst>
        </xdr:cNvPr>
        <xdr:cNvPicPr preferRelativeResize="0"/>
      </xdr:nvPicPr>
      <xdr:blipFill>
        <a:blip xmlns:r="http://schemas.openxmlformats.org/officeDocument/2006/relationships" r:embed="rId5" cstate="print"/>
        <a:stretch>
          <a:fillRect/>
        </a:stretch>
      </xdr:blipFill>
      <xdr:spPr>
        <a:xfrm>
          <a:off x="6513418" y="1428750"/>
          <a:ext cx="798420" cy="602316"/>
        </a:xfrm>
        <a:prstGeom prst="rect">
          <a:avLst/>
        </a:prstGeom>
        <a:noFill/>
      </xdr:spPr>
    </xdr:pic>
    <xdr:clientData fLocksWithSheet="0"/>
  </xdr:oneCellAnchor>
  <xdr:twoCellAnchor>
    <xdr:from>
      <xdr:col>2</xdr:col>
      <xdr:colOff>588309</xdr:colOff>
      <xdr:row>2</xdr:row>
      <xdr:rowOff>182094</xdr:rowOff>
    </xdr:from>
    <xdr:to>
      <xdr:col>15</xdr:col>
      <xdr:colOff>154080</xdr:colOff>
      <xdr:row>6</xdr:row>
      <xdr:rowOff>42021</xdr:rowOff>
    </xdr:to>
    <xdr:sp macro="" textlink="">
      <xdr:nvSpPr>
        <xdr:cNvPr id="8" name="TextBox 7">
          <a:extLst>
            <a:ext uri="{FF2B5EF4-FFF2-40B4-BE49-F238E27FC236}">
              <a16:creationId xmlns:a16="http://schemas.microsoft.com/office/drawing/2014/main" id="{9AA096ED-94F4-4B92-A6E5-0790C46C32AA}"/>
            </a:ext>
          </a:extLst>
        </xdr:cNvPr>
        <xdr:cNvSpPr txBox="1"/>
      </xdr:nvSpPr>
      <xdr:spPr>
        <a:xfrm>
          <a:off x="1876985" y="574300"/>
          <a:ext cx="7942169" cy="644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5">
                  <a:lumMod val="50000"/>
                </a:schemeClr>
              </a:solidFill>
            </a:rPr>
            <a:t>         ANALYITICS DASHBOARD</a:t>
          </a:r>
        </a:p>
      </xdr:txBody>
    </xdr:sp>
    <xdr:clientData/>
  </xdr:twoCellAnchor>
  <xdr:twoCellAnchor>
    <xdr:from>
      <xdr:col>18</xdr:col>
      <xdr:colOff>248480</xdr:colOff>
      <xdr:row>2</xdr:row>
      <xdr:rowOff>98254</xdr:rowOff>
    </xdr:from>
    <xdr:to>
      <xdr:col>21</xdr:col>
      <xdr:colOff>421441</xdr:colOff>
      <xdr:row>6</xdr:row>
      <xdr:rowOff>140277</xdr:rowOff>
    </xdr:to>
    <xdr:sp macro="" textlink="">
      <xdr:nvSpPr>
        <xdr:cNvPr id="9" name="TextBox 8">
          <a:extLst>
            <a:ext uri="{FF2B5EF4-FFF2-40B4-BE49-F238E27FC236}">
              <a16:creationId xmlns:a16="http://schemas.microsoft.com/office/drawing/2014/main" id="{8D4E3B3C-F966-4CD1-B324-31893B26ED33}"/>
            </a:ext>
          </a:extLst>
        </xdr:cNvPr>
        <xdr:cNvSpPr txBox="1"/>
      </xdr:nvSpPr>
      <xdr:spPr>
        <a:xfrm>
          <a:off x="11926958" y="484776"/>
          <a:ext cx="2119374" cy="815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JOB</a:t>
          </a:r>
          <a:r>
            <a:rPr lang="en-US" sz="2000" b="1" baseline="0">
              <a:solidFill>
                <a:srgbClr val="002060"/>
              </a:solidFill>
            </a:rPr>
            <a:t> Satisfaction</a:t>
          </a:r>
          <a:r>
            <a:rPr lang="en-US" sz="1800" b="1" baseline="0">
              <a:solidFill>
                <a:srgbClr val="002060"/>
              </a:solidFill>
            </a:rPr>
            <a:t> </a:t>
          </a:r>
        </a:p>
        <a:p>
          <a:pPr algn="ctr"/>
          <a:r>
            <a:rPr lang="en-US" sz="2000" b="1" baseline="0">
              <a:solidFill>
                <a:srgbClr val="002060"/>
              </a:solidFill>
            </a:rPr>
            <a:t>Rating </a:t>
          </a:r>
          <a:endParaRPr lang="en-US" sz="2000" b="1">
            <a:solidFill>
              <a:srgbClr val="002060"/>
            </a:solidFill>
          </a:endParaRPr>
        </a:p>
      </xdr:txBody>
    </xdr:sp>
    <xdr:clientData/>
  </xdr:twoCellAnchor>
  <xdr:oneCellAnchor>
    <xdr:from>
      <xdr:col>16</xdr:col>
      <xdr:colOff>417581</xdr:colOff>
      <xdr:row>3</xdr:row>
      <xdr:rowOff>2638</xdr:rowOff>
    </xdr:from>
    <xdr:ext cx="602316" cy="560295"/>
    <xdr:pic>
      <xdr:nvPicPr>
        <xdr:cNvPr id="69" name="image3.png">
          <a:extLst>
            <a:ext uri="{FF2B5EF4-FFF2-40B4-BE49-F238E27FC236}">
              <a16:creationId xmlns:a16="http://schemas.microsoft.com/office/drawing/2014/main" id="{C93856BD-D7FE-4E15-8828-AF8221F65050}"/>
            </a:ext>
          </a:extLst>
        </xdr:cNvPr>
        <xdr:cNvPicPr preferRelativeResize="0"/>
      </xdr:nvPicPr>
      <xdr:blipFill>
        <a:blip xmlns:r="http://schemas.openxmlformats.org/officeDocument/2006/relationships" r:embed="rId6" cstate="print"/>
        <a:stretch>
          <a:fillRect/>
        </a:stretch>
      </xdr:blipFill>
      <xdr:spPr>
        <a:xfrm>
          <a:off x="10798451" y="582421"/>
          <a:ext cx="602316" cy="560295"/>
        </a:xfrm>
        <a:prstGeom prst="rect">
          <a:avLst/>
        </a:prstGeom>
        <a:solidFill>
          <a:schemeClr val="tx1">
            <a:lumMod val="95000"/>
            <a:lumOff val="5000"/>
          </a:schemeClr>
        </a:solidFill>
      </xdr:spPr>
    </xdr:pic>
    <xdr:clientData fLocksWithSheet="0"/>
  </xdr:oneCellAnchor>
  <xdr:twoCellAnchor>
    <xdr:from>
      <xdr:col>22</xdr:col>
      <xdr:colOff>211533</xdr:colOff>
      <xdr:row>1</xdr:row>
      <xdr:rowOff>168292</xdr:rowOff>
    </xdr:from>
    <xdr:to>
      <xdr:col>24</xdr:col>
      <xdr:colOff>141496</xdr:colOff>
      <xdr:row>6</xdr:row>
      <xdr:rowOff>154285</xdr:rowOff>
    </xdr:to>
    <xdr:graphicFrame macro="">
      <xdr:nvGraphicFramePr>
        <xdr:cNvPr id="73" name="Chart 72">
          <a:extLst>
            <a:ext uri="{FF2B5EF4-FFF2-40B4-BE49-F238E27FC236}">
              <a16:creationId xmlns:a16="http://schemas.microsoft.com/office/drawing/2014/main" id="{C6EF7C7C-1646-4B4F-8CA0-9F297FF48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395657</xdr:colOff>
      <xdr:row>3</xdr:row>
      <xdr:rowOff>98254</xdr:rowOff>
    </xdr:from>
    <xdr:to>
      <xdr:col>23</xdr:col>
      <xdr:colOff>185546</xdr:colOff>
      <xdr:row>5</xdr:row>
      <xdr:rowOff>84246</xdr:rowOff>
    </xdr:to>
    <xdr:sp macro="" textlink="Rating!$B$6">
      <xdr:nvSpPr>
        <xdr:cNvPr id="10" name="TextBox 9">
          <a:extLst>
            <a:ext uri="{FF2B5EF4-FFF2-40B4-BE49-F238E27FC236}">
              <a16:creationId xmlns:a16="http://schemas.microsoft.com/office/drawing/2014/main" id="{2E09C485-0B48-4827-889B-2E48EA541BEA}"/>
            </a:ext>
          </a:extLst>
        </xdr:cNvPr>
        <xdr:cNvSpPr txBox="1"/>
      </xdr:nvSpPr>
      <xdr:spPr>
        <a:xfrm>
          <a:off x="14669353" y="678037"/>
          <a:ext cx="438693" cy="37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1FE88F-5259-4BF5-83A0-8A1603DCEB58}" type="TxLink">
            <a:rPr lang="en-US" sz="1400" b="1" i="0" u="none" strike="noStrike">
              <a:solidFill>
                <a:srgbClr val="000000"/>
              </a:solidFill>
              <a:latin typeface="Calibri"/>
              <a:cs typeface="Calibri"/>
            </a:rPr>
            <a:pPr/>
            <a:t>2.6</a:t>
          </a:fld>
          <a:endParaRPr lang="en-US" sz="1400" b="1"/>
        </a:p>
      </xdr:txBody>
    </xdr:sp>
    <xdr:clientData/>
  </xdr:twoCellAnchor>
  <xdr:twoCellAnchor>
    <xdr:from>
      <xdr:col>2</xdr:col>
      <xdr:colOff>248478</xdr:colOff>
      <xdr:row>17</xdr:row>
      <xdr:rowOff>36893</xdr:rowOff>
    </xdr:from>
    <xdr:to>
      <xdr:col>4</xdr:col>
      <xdr:colOff>441739</xdr:colOff>
      <xdr:row>25</xdr:row>
      <xdr:rowOff>161131</xdr:rowOff>
    </xdr:to>
    <xdr:graphicFrame macro="">
      <xdr:nvGraphicFramePr>
        <xdr:cNvPr id="74" name="Chart 73">
          <a:extLst>
            <a:ext uri="{FF2B5EF4-FFF2-40B4-BE49-F238E27FC236}">
              <a16:creationId xmlns:a16="http://schemas.microsoft.com/office/drawing/2014/main" id="{9146EB46-A7B3-43E1-A9AB-8EE06DEC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441737</xdr:colOff>
      <xdr:row>17</xdr:row>
      <xdr:rowOff>179456</xdr:rowOff>
    </xdr:from>
    <xdr:to>
      <xdr:col>9</xdr:col>
      <xdr:colOff>55217</xdr:colOff>
      <xdr:row>26</xdr:row>
      <xdr:rowOff>156609</xdr:rowOff>
    </xdr:to>
    <xdr:graphicFrame macro="">
      <xdr:nvGraphicFramePr>
        <xdr:cNvPr id="75" name="Chart 74">
          <a:extLst>
            <a:ext uri="{FF2B5EF4-FFF2-40B4-BE49-F238E27FC236}">
              <a16:creationId xmlns:a16="http://schemas.microsoft.com/office/drawing/2014/main" id="{AE3CF67B-53A5-46C3-82D6-8FAEA3A3D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27609</xdr:colOff>
      <xdr:row>21</xdr:row>
      <xdr:rowOff>1</xdr:rowOff>
    </xdr:from>
    <xdr:to>
      <xdr:col>7</xdr:col>
      <xdr:colOff>69022</xdr:colOff>
      <xdr:row>24</xdr:row>
      <xdr:rowOff>110435</xdr:rowOff>
    </xdr:to>
    <xdr:pic>
      <xdr:nvPicPr>
        <xdr:cNvPr id="16" name="Graphic 15" descr="Male profile">
          <a:extLst>
            <a:ext uri="{FF2B5EF4-FFF2-40B4-BE49-F238E27FC236}">
              <a16:creationId xmlns:a16="http://schemas.microsoft.com/office/drawing/2014/main" id="{AED14A48-394D-4ECE-A56B-25A5942CE5B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920435" y="4058479"/>
          <a:ext cx="690217" cy="690217"/>
        </a:xfrm>
        <a:prstGeom prst="rect">
          <a:avLst/>
        </a:prstGeom>
      </xdr:spPr>
    </xdr:pic>
    <xdr:clientData/>
  </xdr:twoCellAnchor>
  <xdr:twoCellAnchor editAs="oneCell">
    <xdr:from>
      <xdr:col>4</xdr:col>
      <xdr:colOff>220869</xdr:colOff>
      <xdr:row>21</xdr:row>
      <xdr:rowOff>69022</xdr:rowOff>
    </xdr:from>
    <xdr:to>
      <xdr:col>5</xdr:col>
      <xdr:colOff>193259</xdr:colOff>
      <xdr:row>24</xdr:row>
      <xdr:rowOff>110434</xdr:rowOff>
    </xdr:to>
    <xdr:pic>
      <xdr:nvPicPr>
        <xdr:cNvPr id="18" name="Graphic 17" descr="Female Profile">
          <a:extLst>
            <a:ext uri="{FF2B5EF4-FFF2-40B4-BE49-F238E27FC236}">
              <a16:creationId xmlns:a16="http://schemas.microsoft.com/office/drawing/2014/main" id="{BA67CEC2-CF5B-4414-A442-4AC8546372C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816086" y="4127500"/>
          <a:ext cx="621195" cy="621195"/>
        </a:xfrm>
        <a:prstGeom prst="rect">
          <a:avLst/>
        </a:prstGeom>
      </xdr:spPr>
    </xdr:pic>
    <xdr:clientData/>
  </xdr:twoCellAnchor>
  <xdr:twoCellAnchor>
    <xdr:from>
      <xdr:col>3</xdr:col>
      <xdr:colOff>120123</xdr:colOff>
      <xdr:row>20</xdr:row>
      <xdr:rowOff>85003</xdr:rowOff>
    </xdr:from>
    <xdr:to>
      <xdr:col>4</xdr:col>
      <xdr:colOff>220870</xdr:colOff>
      <xdr:row>22</xdr:row>
      <xdr:rowOff>96631</xdr:rowOff>
    </xdr:to>
    <xdr:sp macro="" textlink="Gender!B8">
      <xdr:nvSpPr>
        <xdr:cNvPr id="77" name="TextBox 76">
          <a:extLst>
            <a:ext uri="{FF2B5EF4-FFF2-40B4-BE49-F238E27FC236}">
              <a16:creationId xmlns:a16="http://schemas.microsoft.com/office/drawing/2014/main" id="{1839CD50-9792-47DF-8EA7-CF1998B793E1}"/>
            </a:ext>
          </a:extLst>
        </xdr:cNvPr>
        <xdr:cNvSpPr txBox="1"/>
      </xdr:nvSpPr>
      <xdr:spPr>
        <a:xfrm>
          <a:off x="2066536" y="3950220"/>
          <a:ext cx="749551" cy="39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A5CCC-1FE9-4353-8313-5106B51C16DD}" type="TxLink">
            <a:rPr lang="en-US" sz="1600" b="1" i="0" u="none" strike="noStrike">
              <a:solidFill>
                <a:srgbClr val="000000"/>
              </a:solidFill>
              <a:latin typeface="Calibri"/>
              <a:cs typeface="Calibri"/>
            </a:rPr>
            <a:pPr/>
            <a:t>588</a:t>
          </a:fld>
          <a:endParaRPr lang="en-US" sz="1600" b="1"/>
        </a:p>
      </xdr:txBody>
    </xdr:sp>
    <xdr:clientData/>
  </xdr:twoCellAnchor>
  <xdr:twoCellAnchor>
    <xdr:from>
      <xdr:col>7</xdr:col>
      <xdr:colOff>355350</xdr:colOff>
      <xdr:row>20</xdr:row>
      <xdr:rowOff>85555</xdr:rowOff>
    </xdr:from>
    <xdr:to>
      <xdr:col>8</xdr:col>
      <xdr:colOff>456096</xdr:colOff>
      <xdr:row>22</xdr:row>
      <xdr:rowOff>97183</xdr:rowOff>
    </xdr:to>
    <xdr:sp macro="" textlink="Gender!B9">
      <xdr:nvSpPr>
        <xdr:cNvPr id="78" name="TextBox 77">
          <a:extLst>
            <a:ext uri="{FF2B5EF4-FFF2-40B4-BE49-F238E27FC236}">
              <a16:creationId xmlns:a16="http://schemas.microsoft.com/office/drawing/2014/main" id="{8292AE44-974D-450B-8DF6-AE76A6089856}"/>
            </a:ext>
          </a:extLst>
        </xdr:cNvPr>
        <xdr:cNvSpPr txBox="1"/>
      </xdr:nvSpPr>
      <xdr:spPr>
        <a:xfrm>
          <a:off x="4896980" y="3950772"/>
          <a:ext cx="749551" cy="39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8812D4-3F46-42E0-9E82-E9BC9900CF9E}" type="TxLink">
            <a:rPr lang="en-US" sz="1600" b="1" i="0" u="none" strike="noStrike">
              <a:solidFill>
                <a:srgbClr val="000000"/>
              </a:solidFill>
              <a:latin typeface="Calibri"/>
              <a:cs typeface="Calibri"/>
            </a:rPr>
            <a:pPr/>
            <a:t>882</a:t>
          </a:fld>
          <a:endParaRPr lang="en-US" sz="2000" b="1"/>
        </a:p>
      </xdr:txBody>
    </xdr:sp>
    <xdr:clientData/>
  </xdr:twoCellAnchor>
  <xdr:twoCellAnchor>
    <xdr:from>
      <xdr:col>2</xdr:col>
      <xdr:colOff>400325</xdr:colOff>
      <xdr:row>12</xdr:row>
      <xdr:rowOff>110436</xdr:rowOff>
    </xdr:from>
    <xdr:to>
      <xdr:col>8</xdr:col>
      <xdr:colOff>262282</xdr:colOff>
      <xdr:row>15</xdr:row>
      <xdr:rowOff>27609</xdr:rowOff>
    </xdr:to>
    <xdr:sp macro="" textlink="">
      <xdr:nvSpPr>
        <xdr:cNvPr id="21" name="TextBox 20">
          <a:extLst>
            <a:ext uri="{FF2B5EF4-FFF2-40B4-BE49-F238E27FC236}">
              <a16:creationId xmlns:a16="http://schemas.microsoft.com/office/drawing/2014/main" id="{41AD14B8-4AF8-4D75-9959-443B3082046B}"/>
            </a:ext>
          </a:extLst>
        </xdr:cNvPr>
        <xdr:cNvSpPr txBox="1"/>
      </xdr:nvSpPr>
      <xdr:spPr>
        <a:xfrm>
          <a:off x="1697934" y="2429566"/>
          <a:ext cx="3754783"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Total</a:t>
          </a:r>
          <a:r>
            <a:rPr lang="en-US" sz="1600" b="1" baseline="0">
              <a:solidFill>
                <a:schemeClr val="accent2">
                  <a:lumMod val="50000"/>
                </a:schemeClr>
              </a:solidFill>
            </a:rPr>
            <a:t> Employe By Gender</a:t>
          </a:r>
          <a:endParaRPr lang="en-US" sz="1600" b="1">
            <a:solidFill>
              <a:schemeClr val="accent2">
                <a:lumMod val="50000"/>
              </a:schemeClr>
            </a:solidFill>
          </a:endParaRPr>
        </a:p>
      </xdr:txBody>
    </xdr:sp>
    <xdr:clientData/>
  </xdr:twoCellAnchor>
  <xdr:twoCellAnchor>
    <xdr:from>
      <xdr:col>9</xdr:col>
      <xdr:colOff>441739</xdr:colOff>
      <xdr:row>14</xdr:row>
      <xdr:rowOff>55218</xdr:rowOff>
    </xdr:from>
    <xdr:to>
      <xdr:col>17</xdr:col>
      <xdr:colOff>69021</xdr:colOff>
      <xdr:row>26</xdr:row>
      <xdr:rowOff>55216</xdr:rowOff>
    </xdr:to>
    <xdr:graphicFrame macro="">
      <xdr:nvGraphicFramePr>
        <xdr:cNvPr id="79" name="Chart 78">
          <a:extLst>
            <a:ext uri="{FF2B5EF4-FFF2-40B4-BE49-F238E27FC236}">
              <a16:creationId xmlns:a16="http://schemas.microsoft.com/office/drawing/2014/main" id="{975E392B-02DA-4F30-8B8E-69863A252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497507</xdr:colOff>
      <xdr:row>12</xdr:row>
      <xdr:rowOff>83380</xdr:rowOff>
    </xdr:from>
    <xdr:to>
      <xdr:col>17</xdr:col>
      <xdr:colOff>27609</xdr:colOff>
      <xdr:row>15</xdr:row>
      <xdr:rowOff>553</xdr:rowOff>
    </xdr:to>
    <xdr:sp macro="" textlink="">
      <xdr:nvSpPr>
        <xdr:cNvPr id="80" name="TextBox 79">
          <a:extLst>
            <a:ext uri="{FF2B5EF4-FFF2-40B4-BE49-F238E27FC236}">
              <a16:creationId xmlns:a16="http://schemas.microsoft.com/office/drawing/2014/main" id="{467E6A76-94E8-44C1-90C1-690F3894F5C9}"/>
            </a:ext>
          </a:extLst>
        </xdr:cNvPr>
        <xdr:cNvSpPr txBox="1"/>
      </xdr:nvSpPr>
      <xdr:spPr>
        <a:xfrm>
          <a:off x="5687942" y="2402510"/>
          <a:ext cx="5369341"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Education</a:t>
          </a:r>
          <a:r>
            <a:rPr lang="en-US" sz="1600" b="1" baseline="0">
              <a:solidFill>
                <a:schemeClr val="accent2">
                  <a:lumMod val="50000"/>
                </a:schemeClr>
              </a:solidFill>
            </a:rPr>
            <a:t> Wise Attrition	</a:t>
          </a:r>
          <a:endParaRPr lang="en-US" sz="1600" b="1">
            <a:solidFill>
              <a:schemeClr val="accent2">
                <a:lumMod val="50000"/>
              </a:schemeClr>
            </a:solidFill>
          </a:endParaRPr>
        </a:p>
      </xdr:txBody>
    </xdr:sp>
    <xdr:clientData/>
  </xdr:twoCellAnchor>
  <xdr:twoCellAnchor>
    <xdr:from>
      <xdr:col>17</xdr:col>
      <xdr:colOff>524565</xdr:colOff>
      <xdr:row>14</xdr:row>
      <xdr:rowOff>96632</xdr:rowOff>
    </xdr:from>
    <xdr:to>
      <xdr:col>24</xdr:col>
      <xdr:colOff>262283</xdr:colOff>
      <xdr:row>25</xdr:row>
      <xdr:rowOff>179456</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61C7D035-ECA5-49B8-A1B2-DD6AC7D1C0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535465" y="2763632"/>
              <a:ext cx="4271618" cy="21783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70124</xdr:colOff>
      <xdr:row>12</xdr:row>
      <xdr:rowOff>97736</xdr:rowOff>
    </xdr:from>
    <xdr:to>
      <xdr:col>24</xdr:col>
      <xdr:colOff>249031</xdr:colOff>
      <xdr:row>15</xdr:row>
      <xdr:rowOff>14909</xdr:rowOff>
    </xdr:to>
    <xdr:sp macro="" textlink="">
      <xdr:nvSpPr>
        <xdr:cNvPr id="82" name="TextBox 81">
          <a:extLst>
            <a:ext uri="{FF2B5EF4-FFF2-40B4-BE49-F238E27FC236}">
              <a16:creationId xmlns:a16="http://schemas.microsoft.com/office/drawing/2014/main" id="{47DA44FD-E45C-42DA-9E10-1D8BA2A4FF5A}"/>
            </a:ext>
          </a:extLst>
        </xdr:cNvPr>
        <xdr:cNvSpPr txBox="1"/>
      </xdr:nvSpPr>
      <xdr:spPr>
        <a:xfrm>
          <a:off x="10450994" y="2416866"/>
          <a:ext cx="5369341"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solidFill>
                <a:schemeClr val="accent2">
                  <a:lumMod val="50000"/>
                </a:schemeClr>
              </a:solidFill>
            </a:rPr>
            <a:t>                    Job by Attrition	</a:t>
          </a:r>
          <a:endParaRPr lang="en-US" sz="1600" b="1">
            <a:solidFill>
              <a:schemeClr val="accent2">
                <a:lumMod val="50000"/>
              </a:schemeClr>
            </a:solidFill>
          </a:endParaRPr>
        </a:p>
      </xdr:txBody>
    </xdr:sp>
    <xdr:clientData/>
  </xdr:twoCellAnchor>
  <xdr:twoCellAnchor>
    <xdr:from>
      <xdr:col>2</xdr:col>
      <xdr:colOff>607391</xdr:colOff>
      <xdr:row>28</xdr:row>
      <xdr:rowOff>124239</xdr:rowOff>
    </xdr:from>
    <xdr:to>
      <xdr:col>8</xdr:col>
      <xdr:colOff>400326</xdr:colOff>
      <xdr:row>39</xdr:row>
      <xdr:rowOff>179455</xdr:rowOff>
    </xdr:to>
    <xdr:graphicFrame macro="">
      <xdr:nvGraphicFramePr>
        <xdr:cNvPr id="83" name="Chart 82">
          <a:extLst>
            <a:ext uri="{FF2B5EF4-FFF2-40B4-BE49-F238E27FC236}">
              <a16:creationId xmlns:a16="http://schemas.microsoft.com/office/drawing/2014/main" id="{BDFB7DAD-CB79-4BD8-A83F-176EF2EB6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138595</xdr:colOff>
      <xdr:row>26</xdr:row>
      <xdr:rowOff>124792</xdr:rowOff>
    </xdr:from>
    <xdr:to>
      <xdr:col>8</xdr:col>
      <xdr:colOff>552</xdr:colOff>
      <xdr:row>29</xdr:row>
      <xdr:rowOff>41966</xdr:rowOff>
    </xdr:to>
    <xdr:sp macro="" textlink="">
      <xdr:nvSpPr>
        <xdr:cNvPr id="84" name="TextBox 83">
          <a:extLst>
            <a:ext uri="{FF2B5EF4-FFF2-40B4-BE49-F238E27FC236}">
              <a16:creationId xmlns:a16="http://schemas.microsoft.com/office/drawing/2014/main" id="{6CBF37CA-19C4-48A3-B135-003A7B73E3D1}"/>
            </a:ext>
          </a:extLst>
        </xdr:cNvPr>
        <xdr:cNvSpPr txBox="1"/>
      </xdr:nvSpPr>
      <xdr:spPr>
        <a:xfrm>
          <a:off x="1436204" y="5149575"/>
          <a:ext cx="3754783"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          Department</a:t>
          </a:r>
          <a:r>
            <a:rPr lang="en-US" sz="1600" b="1" baseline="0">
              <a:solidFill>
                <a:schemeClr val="accent2">
                  <a:lumMod val="50000"/>
                </a:schemeClr>
              </a:solidFill>
            </a:rPr>
            <a:t> Wise Attrition	</a:t>
          </a:r>
          <a:endParaRPr lang="en-US" sz="1600" b="1">
            <a:solidFill>
              <a:schemeClr val="accent2">
                <a:lumMod val="50000"/>
              </a:schemeClr>
            </a:solidFill>
          </a:endParaRPr>
        </a:p>
      </xdr:txBody>
    </xdr:sp>
    <xdr:clientData/>
  </xdr:twoCellAnchor>
  <xdr:twoCellAnchor>
    <xdr:from>
      <xdr:col>9</xdr:col>
      <xdr:colOff>110435</xdr:colOff>
      <xdr:row>28</xdr:row>
      <xdr:rowOff>55218</xdr:rowOff>
    </xdr:from>
    <xdr:to>
      <xdr:col>15</xdr:col>
      <xdr:colOff>41413</xdr:colOff>
      <xdr:row>39</xdr:row>
      <xdr:rowOff>168339</xdr:rowOff>
    </xdr:to>
    <xdr:graphicFrame macro="">
      <xdr:nvGraphicFramePr>
        <xdr:cNvPr id="70" name="Chart 69">
          <a:extLst>
            <a:ext uri="{FF2B5EF4-FFF2-40B4-BE49-F238E27FC236}">
              <a16:creationId xmlns:a16="http://schemas.microsoft.com/office/drawing/2014/main" id="{3E28A033-CB81-486A-84A4-9A859B512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208169</xdr:colOff>
      <xdr:row>26</xdr:row>
      <xdr:rowOff>111540</xdr:rowOff>
    </xdr:from>
    <xdr:to>
      <xdr:col>14</xdr:col>
      <xdr:colOff>70126</xdr:colOff>
      <xdr:row>29</xdr:row>
      <xdr:rowOff>28714</xdr:rowOff>
    </xdr:to>
    <xdr:sp macro="" textlink="">
      <xdr:nvSpPr>
        <xdr:cNvPr id="68" name="TextBox 67">
          <a:extLst>
            <a:ext uri="{FF2B5EF4-FFF2-40B4-BE49-F238E27FC236}">
              <a16:creationId xmlns:a16="http://schemas.microsoft.com/office/drawing/2014/main" id="{D113FD0D-99D2-4E18-ADD6-4F3E5208E193}"/>
            </a:ext>
          </a:extLst>
        </xdr:cNvPr>
        <xdr:cNvSpPr txBox="1"/>
      </xdr:nvSpPr>
      <xdr:spPr>
        <a:xfrm>
          <a:off x="5398604" y="5136323"/>
          <a:ext cx="3754783"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                         Age</a:t>
          </a:r>
          <a:r>
            <a:rPr lang="en-US" sz="1600" b="1" baseline="0">
              <a:solidFill>
                <a:schemeClr val="accent2">
                  <a:lumMod val="50000"/>
                </a:schemeClr>
              </a:solidFill>
            </a:rPr>
            <a:t> Wise Attrition</a:t>
          </a:r>
          <a:endParaRPr lang="en-US" sz="1600" b="1">
            <a:solidFill>
              <a:schemeClr val="accent2">
                <a:lumMod val="50000"/>
              </a:schemeClr>
            </a:solidFill>
          </a:endParaRPr>
        </a:p>
      </xdr:txBody>
    </xdr:sp>
    <xdr:clientData/>
  </xdr:twoCellAnchor>
  <xdr:twoCellAnchor editAs="oneCell">
    <xdr:from>
      <xdr:col>4</xdr:col>
      <xdr:colOff>579783</xdr:colOff>
      <xdr:row>2</xdr:row>
      <xdr:rowOff>41414</xdr:rowOff>
    </xdr:from>
    <xdr:to>
      <xdr:col>6</xdr:col>
      <xdr:colOff>386521</xdr:colOff>
      <xdr:row>6</xdr:row>
      <xdr:rowOff>133151</xdr:rowOff>
    </xdr:to>
    <xdr:pic>
      <xdr:nvPicPr>
        <xdr:cNvPr id="12" name="Picture 11">
          <a:extLst>
            <a:ext uri="{FF2B5EF4-FFF2-40B4-BE49-F238E27FC236}">
              <a16:creationId xmlns:a16="http://schemas.microsoft.com/office/drawing/2014/main" id="{3BC3192B-A9B6-44FB-AAFE-556ADC87AC5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175000" y="427936"/>
          <a:ext cx="1104347" cy="864780"/>
        </a:xfrm>
        <a:prstGeom prst="rect">
          <a:avLst/>
        </a:prstGeom>
      </xdr:spPr>
    </xdr:pic>
    <xdr:clientData/>
  </xdr:twoCellAnchor>
  <xdr:twoCellAnchor>
    <xdr:from>
      <xdr:col>15</xdr:col>
      <xdr:colOff>234674</xdr:colOff>
      <xdr:row>28</xdr:row>
      <xdr:rowOff>110436</xdr:rowOff>
    </xdr:from>
    <xdr:to>
      <xdr:col>19</xdr:col>
      <xdr:colOff>621196</xdr:colOff>
      <xdr:row>39</xdr:row>
      <xdr:rowOff>179457</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72DC0F7C-537A-4A83-8DC4-42A6A204A4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950174" y="5444436"/>
              <a:ext cx="2977322" cy="21645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553829</xdr:colOff>
      <xdr:row>26</xdr:row>
      <xdr:rowOff>112092</xdr:rowOff>
    </xdr:from>
    <xdr:to>
      <xdr:col>19</xdr:col>
      <xdr:colOff>415786</xdr:colOff>
      <xdr:row>29</xdr:row>
      <xdr:rowOff>29266</xdr:rowOff>
    </xdr:to>
    <xdr:sp macro="" textlink="">
      <xdr:nvSpPr>
        <xdr:cNvPr id="72" name="TextBox 71">
          <a:extLst>
            <a:ext uri="{FF2B5EF4-FFF2-40B4-BE49-F238E27FC236}">
              <a16:creationId xmlns:a16="http://schemas.microsoft.com/office/drawing/2014/main" id="{42CEA547-3FD8-4ADA-B88B-AF084A2C58B3}"/>
            </a:ext>
          </a:extLst>
        </xdr:cNvPr>
        <xdr:cNvSpPr txBox="1"/>
      </xdr:nvSpPr>
      <xdr:spPr>
        <a:xfrm>
          <a:off x="8988286" y="5136875"/>
          <a:ext cx="3754783"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                       </a:t>
          </a:r>
          <a:r>
            <a:rPr lang="en-US" sz="1600" b="1" baseline="0">
              <a:solidFill>
                <a:schemeClr val="accent2">
                  <a:lumMod val="50000"/>
                </a:schemeClr>
              </a:solidFill>
            </a:rPr>
            <a:t>Attrition By Marital Status	</a:t>
          </a:r>
          <a:endParaRPr lang="en-US" sz="1600" b="1">
            <a:solidFill>
              <a:schemeClr val="accent2">
                <a:lumMod val="50000"/>
              </a:schemeClr>
            </a:solidFill>
          </a:endParaRPr>
        </a:p>
      </xdr:txBody>
    </xdr:sp>
    <xdr:clientData/>
  </xdr:twoCellAnchor>
  <xdr:twoCellAnchor editAs="oneCell">
    <xdr:from>
      <xdr:col>22</xdr:col>
      <xdr:colOff>317499</xdr:colOff>
      <xdr:row>28</xdr:row>
      <xdr:rowOff>82827</xdr:rowOff>
    </xdr:from>
    <xdr:to>
      <xdr:col>24</xdr:col>
      <xdr:colOff>455545</xdr:colOff>
      <xdr:row>35</xdr:row>
      <xdr:rowOff>13805</xdr:rowOff>
    </xdr:to>
    <mc:AlternateContent xmlns:mc="http://schemas.openxmlformats.org/markup-compatibility/2006">
      <mc:Choice xmlns:a14="http://schemas.microsoft.com/office/drawing/2010/main" Requires="a14">
        <xdr:graphicFrame macro="">
          <xdr:nvGraphicFramePr>
            <xdr:cNvPr id="76" name="Department 1">
              <a:extLst>
                <a:ext uri="{FF2B5EF4-FFF2-40B4-BE49-F238E27FC236}">
                  <a16:creationId xmlns:a16="http://schemas.microsoft.com/office/drawing/2014/main" id="{12A3F675-1FDF-4594-89F6-92916608EFF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591195" y="5494131"/>
              <a:ext cx="1435654" cy="1283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272772</xdr:colOff>
      <xdr:row>28</xdr:row>
      <xdr:rowOff>77406</xdr:rowOff>
    </xdr:from>
    <xdr:to>
      <xdr:col>22</xdr:col>
      <xdr:colOff>248478</xdr:colOff>
      <xdr:row>39</xdr:row>
      <xdr:rowOff>82826</xdr:rowOff>
    </xdr:to>
    <mc:AlternateContent xmlns:mc="http://schemas.openxmlformats.org/markup-compatibility/2006" xmlns:a14="http://schemas.microsoft.com/office/drawing/2010/main">
      <mc:Choice Requires="a14">
        <xdr:graphicFrame macro="">
          <xdr:nvGraphicFramePr>
            <xdr:cNvPr id="85" name="Education Field 2">
              <a:extLst>
                <a:ext uri="{FF2B5EF4-FFF2-40B4-BE49-F238E27FC236}">
                  <a16:creationId xmlns:a16="http://schemas.microsoft.com/office/drawing/2014/main" id="{E6A8C561-DA41-4A1F-8E31-43C4F997865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248860" y="5488710"/>
              <a:ext cx="1259510" cy="21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248478</xdr:colOff>
      <xdr:row>28</xdr:row>
      <xdr:rowOff>96630</xdr:rowOff>
    </xdr:from>
    <xdr:to>
      <xdr:col>23</xdr:col>
      <xdr:colOff>565978</xdr:colOff>
      <xdr:row>30</xdr:row>
      <xdr:rowOff>69022</xdr:rowOff>
    </xdr:to>
    <xdr:sp macro="" textlink="">
      <xdr:nvSpPr>
        <xdr:cNvPr id="6" name="TextBox 5">
          <a:extLst>
            <a:ext uri="{FF2B5EF4-FFF2-40B4-BE49-F238E27FC236}">
              <a16:creationId xmlns:a16="http://schemas.microsoft.com/office/drawing/2014/main" id="{377B0646-8EAE-4D1F-9940-50EF89632DEE}"/>
            </a:ext>
          </a:extLst>
        </xdr:cNvPr>
        <xdr:cNvSpPr txBox="1"/>
      </xdr:nvSpPr>
      <xdr:spPr>
        <a:xfrm>
          <a:off x="14522174" y="5507934"/>
          <a:ext cx="966304" cy="358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rPr>
            <a:t>Select Dept</a:t>
          </a:r>
          <a:endParaRPr lang="en-US" sz="1100">
            <a:solidFill>
              <a:schemeClr val="accent2">
                <a:lumMod val="50000"/>
              </a:schemeClr>
            </a:solidFill>
          </a:endParaRPr>
        </a:p>
      </xdr:txBody>
    </xdr:sp>
    <xdr:clientData/>
  </xdr:twoCellAnchor>
  <xdr:twoCellAnchor>
    <xdr:from>
      <xdr:col>20</xdr:col>
      <xdr:colOff>235226</xdr:colOff>
      <xdr:row>28</xdr:row>
      <xdr:rowOff>69574</xdr:rowOff>
    </xdr:from>
    <xdr:to>
      <xdr:col>21</xdr:col>
      <xdr:colOff>358913</xdr:colOff>
      <xdr:row>30</xdr:row>
      <xdr:rowOff>28161</xdr:rowOff>
    </xdr:to>
    <xdr:sp macro="" textlink="">
      <xdr:nvSpPr>
        <xdr:cNvPr id="87" name="TextBox 86">
          <a:extLst>
            <a:ext uri="{FF2B5EF4-FFF2-40B4-BE49-F238E27FC236}">
              <a16:creationId xmlns:a16="http://schemas.microsoft.com/office/drawing/2014/main" id="{31EC2098-1E3E-42F3-B0B4-4855DCAA8DA0}"/>
            </a:ext>
          </a:extLst>
        </xdr:cNvPr>
        <xdr:cNvSpPr txBox="1"/>
      </xdr:nvSpPr>
      <xdr:spPr>
        <a:xfrm>
          <a:off x="13211313" y="5480878"/>
          <a:ext cx="772491"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rPr>
            <a:t>Edu</a:t>
          </a:r>
          <a:r>
            <a:rPr lang="en-US" sz="1200" b="1" baseline="0">
              <a:solidFill>
                <a:schemeClr val="accent2">
                  <a:lumMod val="50000"/>
                </a:schemeClr>
              </a:solidFill>
            </a:rPr>
            <a:t> Field</a:t>
          </a:r>
          <a:endParaRPr lang="en-US" sz="1100" b="1">
            <a:solidFill>
              <a:schemeClr val="accent2">
                <a:lumMod val="50000"/>
              </a:schemeClr>
            </a:solidFill>
          </a:endParaRPr>
        </a:p>
      </xdr:txBody>
    </xdr:sp>
    <xdr:clientData/>
  </xdr:twoCellAnchor>
  <xdr:oneCellAnchor>
    <xdr:from>
      <xdr:col>22</xdr:col>
      <xdr:colOff>621196</xdr:colOff>
      <xdr:row>35</xdr:row>
      <xdr:rowOff>165653</xdr:rowOff>
    </xdr:from>
    <xdr:ext cx="786848" cy="662609"/>
    <xdr:pic>
      <xdr:nvPicPr>
        <xdr:cNvPr id="88" name="image1.png">
          <a:extLst>
            <a:ext uri="{FF2B5EF4-FFF2-40B4-BE49-F238E27FC236}">
              <a16:creationId xmlns:a16="http://schemas.microsoft.com/office/drawing/2014/main" id="{B0C6C0AB-4A08-4008-875E-BC22E671229B}"/>
            </a:ext>
          </a:extLst>
        </xdr:cNvPr>
        <xdr:cNvPicPr preferRelativeResize="0"/>
      </xdr:nvPicPr>
      <xdr:blipFill>
        <a:blip xmlns:r="http://schemas.openxmlformats.org/officeDocument/2006/relationships" r:embed="rId20" cstate="print"/>
        <a:stretch>
          <a:fillRect/>
        </a:stretch>
      </xdr:blipFill>
      <xdr:spPr>
        <a:xfrm>
          <a:off x="14894892" y="6929783"/>
          <a:ext cx="786848" cy="662609"/>
        </a:xfrm>
        <a:prstGeom prst="rect">
          <a:avLst/>
        </a:prstGeom>
        <a:noFill/>
      </xdr:spPr>
    </xdr:pic>
    <xdr:clientData fLocksWithSheet="0"/>
  </xdr:oneCellAnchor>
  <xdr:twoCellAnchor editAs="oneCell">
    <xdr:from>
      <xdr:col>4</xdr:col>
      <xdr:colOff>552174</xdr:colOff>
      <xdr:row>15</xdr:row>
      <xdr:rowOff>27609</xdr:rowOff>
    </xdr:from>
    <xdr:to>
      <xdr:col>6</xdr:col>
      <xdr:colOff>469348</xdr:colOff>
      <xdr:row>20</xdr:row>
      <xdr:rowOff>96630</xdr:rowOff>
    </xdr:to>
    <mc:AlternateContent xmlns:mc="http://schemas.openxmlformats.org/markup-compatibility/2006">
      <mc:Choice xmlns:a14="http://schemas.microsoft.com/office/drawing/2010/main" Requires="a14">
        <xdr:graphicFrame macro="">
          <xdr:nvGraphicFramePr>
            <xdr:cNvPr id="89" name="Gender 2">
              <a:extLst>
                <a:ext uri="{FF2B5EF4-FFF2-40B4-BE49-F238E27FC236}">
                  <a16:creationId xmlns:a16="http://schemas.microsoft.com/office/drawing/2014/main" id="{D0CD2140-7AF5-4213-83E4-121AC179CB9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147391" y="2926522"/>
              <a:ext cx="1214783" cy="103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510760</xdr:colOff>
      <xdr:row>13</xdr:row>
      <xdr:rowOff>179454</xdr:rowOff>
    </xdr:from>
    <xdr:to>
      <xdr:col>5</xdr:col>
      <xdr:colOff>552174</xdr:colOff>
      <xdr:row>16</xdr:row>
      <xdr:rowOff>138042</xdr:rowOff>
    </xdr:to>
    <xdr:sp macro="" textlink="">
      <xdr:nvSpPr>
        <xdr:cNvPr id="90" name="TextBox 89">
          <a:extLst>
            <a:ext uri="{FF2B5EF4-FFF2-40B4-BE49-F238E27FC236}">
              <a16:creationId xmlns:a16="http://schemas.microsoft.com/office/drawing/2014/main" id="{AF2EFA89-61BD-4702-9112-CD3944786B5F}"/>
            </a:ext>
          </a:extLst>
        </xdr:cNvPr>
        <xdr:cNvSpPr txBox="1"/>
      </xdr:nvSpPr>
      <xdr:spPr>
        <a:xfrm>
          <a:off x="3105977" y="2691845"/>
          <a:ext cx="690219" cy="538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50000"/>
                </a:schemeClr>
              </a:solidFill>
            </a:rPr>
            <a:t>          </a:t>
          </a:r>
          <a:r>
            <a:rPr lang="en-US" sz="1200" b="1">
              <a:solidFill>
                <a:schemeClr val="accent2">
                  <a:lumMod val="50000"/>
                </a:schemeClr>
              </a:solidFill>
            </a:rPr>
            <a:t>Gender</a:t>
          </a:r>
          <a:r>
            <a:rPr lang="en-US" sz="1600" b="1" baseline="0">
              <a:solidFill>
                <a:schemeClr val="accent2">
                  <a:lumMod val="50000"/>
                </a:schemeClr>
              </a:solidFill>
            </a:rPr>
            <a:t>	</a:t>
          </a:r>
          <a:endParaRPr lang="en-US" sz="1600" b="1">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refreshedDate="46001.833001620369" createdVersion="6" refreshedVersion="6" minRefreshableVersion="3" recordCount="1470" xr:uid="{DE602613-A7D1-465B-AD03-61CE4EB67567}">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58409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x v="0"/>
    <x v="0"/>
    <x v="0"/>
    <n v="1"/>
    <n v="0"/>
    <n v="1102"/>
    <n v="1"/>
    <x v="0"/>
    <x v="0"/>
    <n v="2"/>
    <n v="94"/>
    <n v="3"/>
    <n v="2"/>
    <n v="4"/>
    <x v="0"/>
    <n v="19479"/>
    <n v="8"/>
    <n v="11"/>
    <n v="3"/>
    <n v="1"/>
    <n v="80"/>
    <n v="0"/>
    <n v="8"/>
    <n v="1"/>
    <n v="6"/>
    <n v="4"/>
    <n v="0"/>
    <n v="5"/>
  </r>
  <r>
    <x v="1"/>
    <s v="Travel_Frequently"/>
    <x v="1"/>
    <s v="Current Employees"/>
    <x v="1"/>
    <x v="0"/>
    <x v="1"/>
    <n v="2"/>
    <x v="1"/>
    <x v="1"/>
    <x v="1"/>
    <s v="No"/>
    <s v="Y"/>
    <n v="3"/>
    <n v="-2"/>
    <n v="0"/>
    <x v="1"/>
    <x v="1"/>
    <x v="1"/>
    <n v="0"/>
    <n v="1"/>
    <n v="279"/>
    <n v="8"/>
    <x v="1"/>
    <x v="0"/>
    <n v="3"/>
    <n v="61"/>
    <n v="2"/>
    <n v="2"/>
    <n v="2"/>
    <x v="1"/>
    <n v="24907"/>
    <n v="1"/>
    <n v="23"/>
    <n v="4"/>
    <n v="4"/>
    <n v="80"/>
    <n v="1"/>
    <n v="10"/>
    <n v="3"/>
    <n v="10"/>
    <n v="7"/>
    <n v="1"/>
    <n v="7"/>
  </r>
  <r>
    <x v="0"/>
    <s v="Travel_Rarely"/>
    <x v="0"/>
    <s v="Ex-Employees"/>
    <x v="1"/>
    <x v="1"/>
    <x v="2"/>
    <n v="4"/>
    <x v="1"/>
    <x v="2"/>
    <x v="0"/>
    <s v="Yes"/>
    <s v="Y"/>
    <n v="3"/>
    <n v="-2"/>
    <n v="0"/>
    <x v="2"/>
    <x v="0"/>
    <x v="0"/>
    <n v="1"/>
    <n v="0"/>
    <n v="1373"/>
    <n v="2"/>
    <x v="0"/>
    <x v="0"/>
    <n v="4"/>
    <n v="92"/>
    <n v="2"/>
    <n v="1"/>
    <n v="3"/>
    <x v="2"/>
    <n v="2396"/>
    <n v="6"/>
    <n v="15"/>
    <n v="3"/>
    <n v="2"/>
    <n v="80"/>
    <n v="0"/>
    <n v="7"/>
    <n v="3"/>
    <n v="0"/>
    <n v="0"/>
    <n v="0"/>
    <n v="0"/>
  </r>
  <r>
    <x v="1"/>
    <s v="Travel_Frequently"/>
    <x v="2"/>
    <s v="Current Employees"/>
    <x v="1"/>
    <x v="0"/>
    <x v="3"/>
    <n v="5"/>
    <x v="0"/>
    <x v="1"/>
    <x v="1"/>
    <s v="Yes"/>
    <s v="Y"/>
    <n v="3"/>
    <n v="-2"/>
    <n v="0"/>
    <x v="3"/>
    <x v="1"/>
    <x v="1"/>
    <n v="0"/>
    <n v="1"/>
    <n v="1392"/>
    <n v="3"/>
    <x v="2"/>
    <x v="0"/>
    <n v="4"/>
    <n v="56"/>
    <n v="3"/>
    <n v="1"/>
    <n v="3"/>
    <x v="3"/>
    <n v="23159"/>
    <n v="1"/>
    <n v="11"/>
    <n v="3"/>
    <n v="3"/>
    <n v="80"/>
    <n v="0"/>
    <n v="8"/>
    <n v="3"/>
    <n v="8"/>
    <n v="7"/>
    <n v="3"/>
    <n v="0"/>
  </r>
  <r>
    <x v="1"/>
    <s v="Travel_Rarely"/>
    <x v="2"/>
    <s v="Current Employees"/>
    <x v="1"/>
    <x v="2"/>
    <x v="4"/>
    <n v="7"/>
    <x v="1"/>
    <x v="2"/>
    <x v="1"/>
    <s v="No"/>
    <s v="Y"/>
    <n v="3"/>
    <n v="-2"/>
    <n v="0"/>
    <x v="4"/>
    <x v="1"/>
    <x v="1"/>
    <n v="0"/>
    <n v="1"/>
    <n v="591"/>
    <n v="2"/>
    <x v="1"/>
    <x v="0"/>
    <n v="1"/>
    <n v="40"/>
    <n v="3"/>
    <n v="1"/>
    <n v="2"/>
    <x v="4"/>
    <n v="16632"/>
    <n v="9"/>
    <n v="12"/>
    <n v="3"/>
    <n v="4"/>
    <n v="80"/>
    <n v="1"/>
    <n v="6"/>
    <n v="3"/>
    <n v="2"/>
    <n v="2"/>
    <n v="2"/>
    <n v="2"/>
  </r>
  <r>
    <x v="1"/>
    <s v="Travel_Frequently"/>
    <x v="2"/>
    <s v="Current Employees"/>
    <x v="1"/>
    <x v="0"/>
    <x v="5"/>
    <n v="8"/>
    <x v="1"/>
    <x v="2"/>
    <x v="0"/>
    <s v="No"/>
    <s v="Y"/>
    <n v="2"/>
    <n v="-2"/>
    <n v="0"/>
    <x v="5"/>
    <x v="1"/>
    <x v="1"/>
    <n v="0"/>
    <n v="1"/>
    <n v="1005"/>
    <n v="2"/>
    <x v="0"/>
    <x v="0"/>
    <n v="4"/>
    <n v="79"/>
    <n v="3"/>
    <n v="1"/>
    <n v="2"/>
    <x v="5"/>
    <n v="11864"/>
    <n v="0"/>
    <n v="13"/>
    <n v="3"/>
    <n v="3"/>
    <n v="80"/>
    <n v="0"/>
    <n v="8"/>
    <n v="2"/>
    <n v="7"/>
    <n v="7"/>
    <n v="3"/>
    <n v="6"/>
  </r>
  <r>
    <x v="1"/>
    <s v="Travel_Rarely"/>
    <x v="3"/>
    <s v="Current Employees"/>
    <x v="1"/>
    <x v="2"/>
    <x v="6"/>
    <n v="10"/>
    <x v="0"/>
    <x v="2"/>
    <x v="1"/>
    <s v="Yes"/>
    <s v="Y"/>
    <n v="3"/>
    <n v="-2"/>
    <n v="0"/>
    <x v="6"/>
    <x v="1"/>
    <x v="1"/>
    <n v="0"/>
    <n v="1"/>
    <n v="1324"/>
    <n v="3"/>
    <x v="3"/>
    <x v="0"/>
    <n v="3"/>
    <n v="81"/>
    <n v="4"/>
    <n v="1"/>
    <n v="4"/>
    <x v="6"/>
    <n v="9964"/>
    <n v="4"/>
    <n v="20"/>
    <n v="4"/>
    <n v="1"/>
    <n v="80"/>
    <n v="3"/>
    <n v="12"/>
    <n v="2"/>
    <n v="1"/>
    <n v="0"/>
    <n v="0"/>
    <n v="0"/>
  </r>
  <r>
    <x v="1"/>
    <s v="Travel_Rarely"/>
    <x v="2"/>
    <s v="Current Employees"/>
    <x v="1"/>
    <x v="0"/>
    <x v="7"/>
    <n v="11"/>
    <x v="1"/>
    <x v="2"/>
    <x v="2"/>
    <s v="No"/>
    <s v="Y"/>
    <n v="2"/>
    <n v="-2"/>
    <n v="0"/>
    <x v="7"/>
    <x v="1"/>
    <x v="1"/>
    <n v="0"/>
    <n v="1"/>
    <n v="1358"/>
    <n v="24"/>
    <x v="1"/>
    <x v="0"/>
    <n v="4"/>
    <n v="67"/>
    <n v="3"/>
    <n v="1"/>
    <n v="2"/>
    <x v="7"/>
    <n v="13335"/>
    <n v="1"/>
    <n v="22"/>
    <n v="4"/>
    <n v="2"/>
    <n v="80"/>
    <n v="1"/>
    <n v="1"/>
    <n v="3"/>
    <n v="1"/>
    <n v="0"/>
    <n v="0"/>
    <n v="0"/>
  </r>
  <r>
    <x v="1"/>
    <s v="Travel_Frequently"/>
    <x v="0"/>
    <s v="Current Employees"/>
    <x v="1"/>
    <x v="0"/>
    <x v="8"/>
    <n v="12"/>
    <x v="1"/>
    <x v="3"/>
    <x v="0"/>
    <s v="No"/>
    <s v="Y"/>
    <n v="2"/>
    <n v="-2"/>
    <n v="0"/>
    <x v="8"/>
    <x v="1"/>
    <x v="1"/>
    <n v="0"/>
    <n v="1"/>
    <n v="216"/>
    <n v="23"/>
    <x v="3"/>
    <x v="0"/>
    <n v="4"/>
    <n v="44"/>
    <n v="2"/>
    <n v="3"/>
    <n v="2"/>
    <x v="8"/>
    <n v="8787"/>
    <n v="0"/>
    <n v="21"/>
    <n v="4"/>
    <n v="2"/>
    <n v="80"/>
    <n v="0"/>
    <n v="10"/>
    <n v="3"/>
    <n v="9"/>
    <n v="7"/>
    <n v="1"/>
    <n v="8"/>
  </r>
  <r>
    <x v="1"/>
    <s v="Travel_Rarely"/>
    <x v="0"/>
    <s v="Current Employees"/>
    <x v="1"/>
    <x v="2"/>
    <x v="9"/>
    <n v="13"/>
    <x v="1"/>
    <x v="4"/>
    <x v="1"/>
    <s v="No"/>
    <s v="Y"/>
    <n v="3"/>
    <n v="-2"/>
    <n v="0"/>
    <x v="9"/>
    <x v="1"/>
    <x v="1"/>
    <n v="0"/>
    <n v="1"/>
    <n v="1299"/>
    <n v="27"/>
    <x v="3"/>
    <x v="0"/>
    <n v="3"/>
    <n v="94"/>
    <n v="3"/>
    <n v="2"/>
    <n v="3"/>
    <x v="9"/>
    <n v="16577"/>
    <n v="6"/>
    <n v="13"/>
    <n v="3"/>
    <n v="2"/>
    <n v="80"/>
    <n v="2"/>
    <n v="17"/>
    <n v="2"/>
    <n v="7"/>
    <n v="7"/>
    <n v="7"/>
    <n v="7"/>
  </r>
  <r>
    <x v="1"/>
    <s v="Travel_Rarely"/>
    <x v="0"/>
    <s v="Current Employees"/>
    <x v="1"/>
    <x v="2"/>
    <x v="10"/>
    <n v="14"/>
    <x v="1"/>
    <x v="2"/>
    <x v="1"/>
    <s v="No"/>
    <s v="Y"/>
    <n v="5"/>
    <n v="-2"/>
    <n v="0"/>
    <x v="10"/>
    <x v="1"/>
    <x v="1"/>
    <n v="0"/>
    <n v="1"/>
    <n v="809"/>
    <n v="16"/>
    <x v="3"/>
    <x v="0"/>
    <n v="1"/>
    <n v="84"/>
    <n v="4"/>
    <n v="1"/>
    <n v="2"/>
    <x v="10"/>
    <n v="16479"/>
    <n v="0"/>
    <n v="13"/>
    <n v="3"/>
    <n v="3"/>
    <n v="80"/>
    <n v="1"/>
    <n v="6"/>
    <n v="3"/>
    <n v="5"/>
    <n v="4"/>
    <n v="0"/>
    <n v="3"/>
  </r>
  <r>
    <x v="1"/>
    <s v="Travel_Rarely"/>
    <x v="2"/>
    <s v="Current Employees"/>
    <x v="1"/>
    <x v="0"/>
    <x v="11"/>
    <n v="15"/>
    <x v="0"/>
    <x v="2"/>
    <x v="0"/>
    <s v="Yes"/>
    <s v="Y"/>
    <n v="3"/>
    <n v="-2"/>
    <n v="0"/>
    <x v="11"/>
    <x v="1"/>
    <x v="1"/>
    <n v="0"/>
    <n v="1"/>
    <n v="153"/>
    <n v="15"/>
    <x v="0"/>
    <x v="0"/>
    <n v="4"/>
    <n v="49"/>
    <n v="2"/>
    <n v="2"/>
    <n v="2"/>
    <x v="11"/>
    <n v="12682"/>
    <n v="0"/>
    <n v="12"/>
    <n v="3"/>
    <n v="4"/>
    <n v="80"/>
    <n v="0"/>
    <n v="10"/>
    <n v="3"/>
    <n v="9"/>
    <n v="5"/>
    <n v="0"/>
    <n v="8"/>
  </r>
  <r>
    <x v="1"/>
    <s v="Travel_Rarely"/>
    <x v="2"/>
    <s v="Current Employees"/>
    <x v="1"/>
    <x v="0"/>
    <x v="12"/>
    <n v="16"/>
    <x v="1"/>
    <x v="1"/>
    <x v="2"/>
    <s v="No"/>
    <s v="Y"/>
    <n v="1"/>
    <n v="-2"/>
    <n v="0"/>
    <x v="12"/>
    <x v="1"/>
    <x v="1"/>
    <n v="0"/>
    <n v="1"/>
    <n v="670"/>
    <n v="26"/>
    <x v="1"/>
    <x v="0"/>
    <n v="1"/>
    <n v="31"/>
    <n v="3"/>
    <n v="1"/>
    <n v="2"/>
    <x v="12"/>
    <n v="15170"/>
    <n v="1"/>
    <n v="17"/>
    <n v="3"/>
    <n v="4"/>
    <n v="80"/>
    <n v="1"/>
    <n v="5"/>
    <n v="2"/>
    <n v="5"/>
    <n v="2"/>
    <n v="4"/>
    <n v="3"/>
  </r>
  <r>
    <x v="1"/>
    <s v="Travel_Rarely"/>
    <x v="2"/>
    <s v="Current Employees"/>
    <x v="1"/>
    <x v="2"/>
    <x v="13"/>
    <n v="18"/>
    <x v="1"/>
    <x v="2"/>
    <x v="2"/>
    <s v="No"/>
    <s v="Y"/>
    <n v="2"/>
    <n v="-2"/>
    <n v="0"/>
    <x v="13"/>
    <x v="1"/>
    <x v="1"/>
    <n v="0"/>
    <n v="1"/>
    <n v="1346"/>
    <n v="19"/>
    <x v="0"/>
    <x v="0"/>
    <n v="2"/>
    <n v="93"/>
    <n v="3"/>
    <n v="1"/>
    <n v="4"/>
    <x v="13"/>
    <n v="8758"/>
    <n v="0"/>
    <n v="11"/>
    <n v="3"/>
    <n v="3"/>
    <n v="80"/>
    <n v="1"/>
    <n v="3"/>
    <n v="3"/>
    <n v="2"/>
    <n v="2"/>
    <n v="1"/>
    <n v="2"/>
  </r>
  <r>
    <x v="0"/>
    <s v="Travel_Rarely"/>
    <x v="2"/>
    <s v="Ex-Employees"/>
    <x v="1"/>
    <x v="0"/>
    <x v="14"/>
    <n v="19"/>
    <x v="1"/>
    <x v="2"/>
    <x v="0"/>
    <s v="Yes"/>
    <s v="Y"/>
    <n v="4"/>
    <n v="-2"/>
    <n v="0"/>
    <x v="14"/>
    <x v="0"/>
    <x v="0"/>
    <n v="1"/>
    <n v="0"/>
    <n v="103"/>
    <n v="24"/>
    <x v="3"/>
    <x v="0"/>
    <n v="3"/>
    <n v="50"/>
    <n v="2"/>
    <n v="1"/>
    <n v="2"/>
    <x v="14"/>
    <n v="12947"/>
    <n v="5"/>
    <n v="14"/>
    <n v="3"/>
    <n v="2"/>
    <n v="80"/>
    <n v="0"/>
    <n v="6"/>
    <n v="3"/>
    <n v="4"/>
    <n v="2"/>
    <n v="0"/>
    <n v="3"/>
  </r>
  <r>
    <x v="1"/>
    <s v="Travel_Rarely"/>
    <x v="2"/>
    <s v="Current Employees"/>
    <x v="1"/>
    <x v="0"/>
    <x v="15"/>
    <n v="20"/>
    <x v="0"/>
    <x v="3"/>
    <x v="2"/>
    <s v="No"/>
    <s v="Y"/>
    <n v="1"/>
    <n v="-2"/>
    <n v="0"/>
    <x v="11"/>
    <x v="1"/>
    <x v="1"/>
    <n v="0"/>
    <n v="1"/>
    <n v="1389"/>
    <n v="21"/>
    <x v="2"/>
    <x v="0"/>
    <n v="2"/>
    <n v="51"/>
    <n v="4"/>
    <n v="3"/>
    <n v="2"/>
    <x v="15"/>
    <n v="10195"/>
    <n v="1"/>
    <n v="11"/>
    <n v="3"/>
    <n v="3"/>
    <n v="80"/>
    <n v="1"/>
    <n v="10"/>
    <n v="3"/>
    <n v="10"/>
    <n v="9"/>
    <n v="8"/>
    <n v="8"/>
  </r>
  <r>
    <x v="1"/>
    <s v="Travel_Rarely"/>
    <x v="2"/>
    <s v="Current Employees"/>
    <x v="1"/>
    <x v="0"/>
    <x v="16"/>
    <n v="21"/>
    <x v="1"/>
    <x v="1"/>
    <x v="2"/>
    <s v="Yes"/>
    <s v="Y"/>
    <n v="5"/>
    <n v="-2"/>
    <n v="0"/>
    <x v="5"/>
    <x v="1"/>
    <x v="1"/>
    <n v="0"/>
    <n v="1"/>
    <n v="334"/>
    <n v="5"/>
    <x v="0"/>
    <x v="0"/>
    <n v="1"/>
    <n v="80"/>
    <n v="4"/>
    <n v="1"/>
    <n v="2"/>
    <x v="16"/>
    <n v="15053"/>
    <n v="0"/>
    <n v="12"/>
    <n v="3"/>
    <n v="4"/>
    <n v="80"/>
    <n v="2"/>
    <n v="7"/>
    <n v="2"/>
    <n v="6"/>
    <n v="2"/>
    <n v="0"/>
    <n v="5"/>
  </r>
  <r>
    <x v="1"/>
    <s v="Non-Travel"/>
    <x v="4"/>
    <s v="Current Employees"/>
    <x v="1"/>
    <x v="2"/>
    <x v="17"/>
    <n v="22"/>
    <x v="1"/>
    <x v="2"/>
    <x v="2"/>
    <s v="Yes"/>
    <s v="Y"/>
    <n v="2"/>
    <n v="-2"/>
    <n v="0"/>
    <x v="15"/>
    <x v="1"/>
    <x v="1"/>
    <n v="0"/>
    <n v="1"/>
    <n v="1123"/>
    <n v="16"/>
    <x v="0"/>
    <x v="0"/>
    <n v="4"/>
    <n v="96"/>
    <n v="4"/>
    <n v="1"/>
    <n v="4"/>
    <x v="17"/>
    <n v="7324"/>
    <n v="1"/>
    <n v="13"/>
    <n v="3"/>
    <n v="2"/>
    <n v="80"/>
    <n v="2"/>
    <n v="1"/>
    <n v="2"/>
    <n v="1"/>
    <n v="0"/>
    <n v="0"/>
    <n v="0"/>
  </r>
  <r>
    <x v="1"/>
    <s v="Travel_Rarely"/>
    <x v="1"/>
    <s v="Current Employees"/>
    <x v="0"/>
    <x v="0"/>
    <x v="18"/>
    <n v="23"/>
    <x v="0"/>
    <x v="5"/>
    <x v="1"/>
    <s v="No"/>
    <s v="Y"/>
    <n v="3"/>
    <n v="-2"/>
    <n v="0"/>
    <x v="16"/>
    <x v="1"/>
    <x v="1"/>
    <n v="0"/>
    <n v="1"/>
    <n v="1219"/>
    <n v="2"/>
    <x v="2"/>
    <x v="0"/>
    <n v="1"/>
    <n v="78"/>
    <n v="2"/>
    <n v="4"/>
    <n v="2"/>
    <x v="18"/>
    <n v="22021"/>
    <n v="2"/>
    <n v="16"/>
    <n v="3"/>
    <n v="3"/>
    <n v="80"/>
    <n v="0"/>
    <n v="31"/>
    <n v="3"/>
    <n v="25"/>
    <n v="8"/>
    <n v="3"/>
    <n v="7"/>
  </r>
  <r>
    <x v="1"/>
    <s v="Travel_Rarely"/>
    <x v="0"/>
    <s v="Current Employees"/>
    <x v="1"/>
    <x v="0"/>
    <x v="19"/>
    <n v="24"/>
    <x v="1"/>
    <x v="1"/>
    <x v="0"/>
    <s v="Yes"/>
    <s v="Y"/>
    <n v="3"/>
    <n v="-2"/>
    <n v="0"/>
    <x v="8"/>
    <x v="1"/>
    <x v="1"/>
    <n v="0"/>
    <n v="1"/>
    <n v="371"/>
    <n v="2"/>
    <x v="3"/>
    <x v="0"/>
    <n v="4"/>
    <n v="45"/>
    <n v="3"/>
    <n v="1"/>
    <n v="2"/>
    <x v="19"/>
    <n v="4306"/>
    <n v="5"/>
    <n v="11"/>
    <n v="3"/>
    <n v="3"/>
    <n v="80"/>
    <n v="0"/>
    <n v="6"/>
    <n v="3"/>
    <n v="3"/>
    <n v="2"/>
    <n v="1"/>
    <n v="2"/>
  </r>
  <r>
    <x v="1"/>
    <s v="Non-Travel"/>
    <x v="4"/>
    <s v="Current Employees"/>
    <x v="1"/>
    <x v="1"/>
    <x v="20"/>
    <n v="26"/>
    <x v="0"/>
    <x v="3"/>
    <x v="2"/>
    <s v="No"/>
    <s v="Y"/>
    <n v="5"/>
    <n v="-2"/>
    <n v="0"/>
    <x v="17"/>
    <x v="1"/>
    <x v="1"/>
    <n v="0"/>
    <n v="1"/>
    <n v="673"/>
    <n v="11"/>
    <x v="0"/>
    <x v="0"/>
    <n v="1"/>
    <n v="96"/>
    <n v="4"/>
    <n v="2"/>
    <n v="3"/>
    <x v="20"/>
    <n v="8232"/>
    <n v="0"/>
    <n v="18"/>
    <n v="3"/>
    <n v="4"/>
    <n v="80"/>
    <n v="1"/>
    <n v="5"/>
    <n v="2"/>
    <n v="4"/>
    <n v="2"/>
    <n v="1"/>
    <n v="3"/>
  </r>
  <r>
    <x v="0"/>
    <s v="Travel_Rarely"/>
    <x v="0"/>
    <s v="Ex-Employees"/>
    <x v="0"/>
    <x v="0"/>
    <x v="21"/>
    <n v="27"/>
    <x v="1"/>
    <x v="6"/>
    <x v="0"/>
    <s v="No"/>
    <s v="Y"/>
    <n v="4"/>
    <n v="-2"/>
    <n v="0"/>
    <x v="9"/>
    <x v="0"/>
    <x v="0"/>
    <n v="1"/>
    <n v="0"/>
    <n v="1218"/>
    <n v="9"/>
    <x v="2"/>
    <x v="0"/>
    <n v="3"/>
    <n v="82"/>
    <n v="2"/>
    <n v="1"/>
    <n v="2"/>
    <x v="21"/>
    <n v="6986"/>
    <n v="7"/>
    <n v="23"/>
    <n v="4"/>
    <n v="2"/>
    <n v="80"/>
    <n v="0"/>
    <n v="10"/>
    <n v="3"/>
    <n v="5"/>
    <n v="3"/>
    <n v="0"/>
    <n v="3"/>
  </r>
  <r>
    <x v="1"/>
    <s v="Travel_Rarely"/>
    <x v="2"/>
    <s v="Current Employees"/>
    <x v="1"/>
    <x v="0"/>
    <x v="22"/>
    <n v="28"/>
    <x v="0"/>
    <x v="7"/>
    <x v="0"/>
    <s v="No"/>
    <s v="Y"/>
    <n v="4"/>
    <n v="-2"/>
    <n v="0"/>
    <x v="13"/>
    <x v="1"/>
    <x v="1"/>
    <n v="0"/>
    <n v="1"/>
    <n v="419"/>
    <n v="7"/>
    <x v="2"/>
    <x v="0"/>
    <n v="1"/>
    <n v="53"/>
    <n v="3"/>
    <n v="3"/>
    <n v="2"/>
    <x v="22"/>
    <n v="21293"/>
    <n v="0"/>
    <n v="11"/>
    <n v="3"/>
    <n v="3"/>
    <n v="80"/>
    <n v="0"/>
    <n v="13"/>
    <n v="3"/>
    <n v="12"/>
    <n v="6"/>
    <n v="2"/>
    <n v="11"/>
  </r>
  <r>
    <x v="1"/>
    <s v="Travel_Rarely"/>
    <x v="4"/>
    <s v="Current Employees"/>
    <x v="1"/>
    <x v="0"/>
    <x v="23"/>
    <n v="30"/>
    <x v="1"/>
    <x v="1"/>
    <x v="0"/>
    <s v="No"/>
    <s v="Y"/>
    <n v="6"/>
    <n v="-2"/>
    <n v="0"/>
    <x v="18"/>
    <x v="1"/>
    <x v="1"/>
    <n v="0"/>
    <n v="1"/>
    <n v="391"/>
    <n v="15"/>
    <x v="0"/>
    <x v="0"/>
    <n v="3"/>
    <n v="96"/>
    <n v="3"/>
    <n v="1"/>
    <n v="2"/>
    <x v="23"/>
    <n v="19281"/>
    <n v="1"/>
    <n v="14"/>
    <n v="3"/>
    <n v="4"/>
    <n v="80"/>
    <n v="0"/>
    <n v="0"/>
    <n v="3"/>
    <n v="0"/>
    <n v="0"/>
    <n v="0"/>
    <n v="0"/>
  </r>
  <r>
    <x v="0"/>
    <s v="Travel_Rarely"/>
    <x v="2"/>
    <s v="Ex-Employees"/>
    <x v="1"/>
    <x v="2"/>
    <x v="24"/>
    <n v="31"/>
    <x v="1"/>
    <x v="1"/>
    <x v="0"/>
    <s v="No"/>
    <s v="Y"/>
    <n v="2"/>
    <n v="-2"/>
    <n v="0"/>
    <x v="13"/>
    <x v="0"/>
    <x v="0"/>
    <n v="1"/>
    <n v="0"/>
    <n v="699"/>
    <n v="6"/>
    <x v="1"/>
    <x v="0"/>
    <n v="2"/>
    <n v="83"/>
    <n v="3"/>
    <n v="1"/>
    <n v="4"/>
    <x v="24"/>
    <n v="17102"/>
    <n v="2"/>
    <n v="11"/>
    <n v="3"/>
    <n v="3"/>
    <n v="80"/>
    <n v="0"/>
    <n v="8"/>
    <n v="3"/>
    <n v="4"/>
    <n v="2"/>
    <n v="1"/>
    <n v="3"/>
  </r>
  <r>
    <x v="1"/>
    <s v="Travel_Rarely"/>
    <x v="1"/>
    <s v="Current Employees"/>
    <x v="1"/>
    <x v="1"/>
    <x v="25"/>
    <n v="32"/>
    <x v="0"/>
    <x v="5"/>
    <x v="2"/>
    <s v="No"/>
    <s v="Y"/>
    <n v="3"/>
    <n v="-2"/>
    <n v="0"/>
    <x v="16"/>
    <x v="1"/>
    <x v="1"/>
    <n v="0"/>
    <n v="1"/>
    <n v="1282"/>
    <n v="5"/>
    <x v="3"/>
    <x v="0"/>
    <n v="3"/>
    <n v="58"/>
    <n v="3"/>
    <n v="5"/>
    <n v="3"/>
    <x v="25"/>
    <n v="10735"/>
    <n v="4"/>
    <n v="11"/>
    <n v="3"/>
    <n v="4"/>
    <n v="80"/>
    <n v="1"/>
    <n v="26"/>
    <n v="2"/>
    <n v="14"/>
    <n v="13"/>
    <n v="4"/>
    <n v="8"/>
  </r>
  <r>
    <x v="0"/>
    <s v="Travel_Frequently"/>
    <x v="2"/>
    <s v="Ex-Employees"/>
    <x v="1"/>
    <x v="0"/>
    <x v="26"/>
    <n v="33"/>
    <x v="0"/>
    <x v="1"/>
    <x v="0"/>
    <s v="Yes"/>
    <s v="Y"/>
    <n v="5"/>
    <n v="-2"/>
    <n v="0"/>
    <x v="5"/>
    <x v="0"/>
    <x v="0"/>
    <n v="1"/>
    <n v="0"/>
    <n v="1125"/>
    <n v="16"/>
    <x v="1"/>
    <x v="0"/>
    <n v="2"/>
    <n v="72"/>
    <n v="1"/>
    <n v="1"/>
    <n v="2"/>
    <x v="26"/>
    <n v="4681"/>
    <n v="1"/>
    <n v="22"/>
    <n v="4"/>
    <n v="2"/>
    <n v="80"/>
    <n v="0"/>
    <n v="10"/>
    <n v="3"/>
    <n v="10"/>
    <n v="2"/>
    <n v="6"/>
    <n v="7"/>
  </r>
  <r>
    <x v="1"/>
    <s v="Travel_Rarely"/>
    <x v="0"/>
    <s v="Current Employees"/>
    <x v="0"/>
    <x v="3"/>
    <x v="27"/>
    <n v="35"/>
    <x v="1"/>
    <x v="0"/>
    <x v="1"/>
    <s v="No"/>
    <s v="Y"/>
    <n v="2"/>
    <n v="-2"/>
    <n v="0"/>
    <x v="19"/>
    <x v="1"/>
    <x v="1"/>
    <n v="0"/>
    <n v="1"/>
    <n v="691"/>
    <n v="8"/>
    <x v="2"/>
    <x v="0"/>
    <n v="3"/>
    <n v="48"/>
    <n v="3"/>
    <n v="2"/>
    <n v="3"/>
    <x v="27"/>
    <n v="21173"/>
    <n v="0"/>
    <n v="11"/>
    <n v="3"/>
    <n v="4"/>
    <n v="80"/>
    <n v="1"/>
    <n v="10"/>
    <n v="3"/>
    <n v="9"/>
    <n v="7"/>
    <n v="4"/>
    <n v="2"/>
  </r>
  <r>
    <x v="1"/>
    <s v="Travel_Rarely"/>
    <x v="0"/>
    <s v="Current Employees"/>
    <x v="1"/>
    <x v="2"/>
    <x v="28"/>
    <n v="36"/>
    <x v="0"/>
    <x v="4"/>
    <x v="1"/>
    <s v="No"/>
    <s v="Y"/>
    <n v="4"/>
    <n v="-2"/>
    <n v="0"/>
    <x v="20"/>
    <x v="1"/>
    <x v="1"/>
    <n v="0"/>
    <n v="1"/>
    <n v="477"/>
    <n v="7"/>
    <x v="2"/>
    <x v="0"/>
    <n v="1"/>
    <n v="42"/>
    <n v="2"/>
    <n v="3"/>
    <n v="4"/>
    <x v="28"/>
    <n v="2094"/>
    <n v="3"/>
    <n v="14"/>
    <n v="3"/>
    <n v="4"/>
    <n v="80"/>
    <n v="1"/>
    <n v="24"/>
    <n v="3"/>
    <n v="22"/>
    <n v="6"/>
    <n v="5"/>
    <n v="17"/>
  </r>
  <r>
    <x v="1"/>
    <s v="Travel_Rarely"/>
    <x v="1"/>
    <s v="Current Employees"/>
    <x v="0"/>
    <x v="3"/>
    <x v="29"/>
    <n v="38"/>
    <x v="0"/>
    <x v="5"/>
    <x v="0"/>
    <s v="No"/>
    <s v="Y"/>
    <n v="2"/>
    <n v="-2"/>
    <n v="0"/>
    <x v="21"/>
    <x v="1"/>
    <x v="1"/>
    <n v="0"/>
    <n v="1"/>
    <n v="705"/>
    <n v="2"/>
    <x v="2"/>
    <x v="0"/>
    <n v="2"/>
    <n v="83"/>
    <n v="3"/>
    <n v="5"/>
    <n v="4"/>
    <x v="29"/>
    <n v="22822"/>
    <n v="3"/>
    <n v="12"/>
    <n v="3"/>
    <n v="4"/>
    <n v="80"/>
    <n v="0"/>
    <n v="22"/>
    <n v="2"/>
    <n v="2"/>
    <n v="2"/>
    <n v="2"/>
    <n v="1"/>
  </r>
  <r>
    <x v="1"/>
    <s v="Travel_Rarely"/>
    <x v="2"/>
    <s v="Current Employees"/>
    <x v="1"/>
    <x v="2"/>
    <x v="30"/>
    <n v="39"/>
    <x v="1"/>
    <x v="2"/>
    <x v="0"/>
    <s v="No"/>
    <s v="Y"/>
    <n v="3"/>
    <n v="-2"/>
    <n v="0"/>
    <x v="3"/>
    <x v="1"/>
    <x v="1"/>
    <n v="0"/>
    <n v="1"/>
    <n v="924"/>
    <n v="2"/>
    <x v="3"/>
    <x v="0"/>
    <n v="3"/>
    <n v="78"/>
    <n v="3"/>
    <n v="1"/>
    <n v="4"/>
    <x v="30"/>
    <n v="6670"/>
    <n v="4"/>
    <n v="11"/>
    <n v="3"/>
    <n v="4"/>
    <n v="80"/>
    <n v="0"/>
    <n v="7"/>
    <n v="3"/>
    <n v="1"/>
    <n v="1"/>
    <n v="0"/>
    <n v="0"/>
  </r>
  <r>
    <x v="1"/>
    <s v="Travel_Rarely"/>
    <x v="0"/>
    <s v="Current Employees"/>
    <x v="1"/>
    <x v="1"/>
    <x v="31"/>
    <n v="40"/>
    <x v="1"/>
    <x v="4"/>
    <x v="1"/>
    <s v="Yes"/>
    <s v="Y"/>
    <n v="5"/>
    <n v="-2"/>
    <n v="0"/>
    <x v="20"/>
    <x v="1"/>
    <x v="1"/>
    <n v="0"/>
    <n v="1"/>
    <n v="1459"/>
    <n v="10"/>
    <x v="2"/>
    <x v="0"/>
    <n v="4"/>
    <n v="41"/>
    <n v="3"/>
    <n v="2"/>
    <n v="4"/>
    <x v="31"/>
    <n v="19121"/>
    <n v="2"/>
    <n v="13"/>
    <n v="3"/>
    <n v="4"/>
    <n v="80"/>
    <n v="0"/>
    <n v="9"/>
    <n v="4"/>
    <n v="4"/>
    <n v="2"/>
    <n v="1"/>
    <n v="3"/>
  </r>
  <r>
    <x v="1"/>
    <s v="Travel_Rarely"/>
    <x v="2"/>
    <s v="Current Employees"/>
    <x v="1"/>
    <x v="2"/>
    <x v="32"/>
    <n v="41"/>
    <x v="1"/>
    <x v="2"/>
    <x v="0"/>
    <s v="No"/>
    <s v="Y"/>
    <n v="5"/>
    <n v="-2"/>
    <n v="0"/>
    <x v="7"/>
    <x v="1"/>
    <x v="1"/>
    <n v="0"/>
    <n v="1"/>
    <n v="125"/>
    <n v="9"/>
    <x v="0"/>
    <x v="0"/>
    <n v="4"/>
    <n v="83"/>
    <n v="2"/>
    <n v="1"/>
    <n v="3"/>
    <x v="32"/>
    <n v="16117"/>
    <n v="1"/>
    <n v="13"/>
    <n v="3"/>
    <n v="1"/>
    <n v="80"/>
    <n v="0"/>
    <n v="10"/>
    <n v="3"/>
    <n v="10"/>
    <n v="0"/>
    <n v="1"/>
    <n v="8"/>
  </r>
  <r>
    <x v="0"/>
    <s v="Travel_Rarely"/>
    <x v="0"/>
    <s v="Ex-Employees"/>
    <x v="0"/>
    <x v="4"/>
    <x v="33"/>
    <n v="42"/>
    <x v="1"/>
    <x v="6"/>
    <x v="1"/>
    <s v="No"/>
    <s v="Y"/>
    <n v="6"/>
    <n v="-2"/>
    <n v="0"/>
    <x v="22"/>
    <x v="0"/>
    <x v="0"/>
    <n v="1"/>
    <n v="0"/>
    <n v="895"/>
    <n v="5"/>
    <x v="3"/>
    <x v="0"/>
    <n v="4"/>
    <n v="56"/>
    <n v="3"/>
    <n v="2"/>
    <n v="4"/>
    <x v="33"/>
    <n v="3335"/>
    <n v="3"/>
    <n v="14"/>
    <n v="3"/>
    <n v="3"/>
    <n v="80"/>
    <n v="1"/>
    <n v="19"/>
    <n v="4"/>
    <n v="1"/>
    <n v="0"/>
    <n v="0"/>
    <n v="0"/>
  </r>
  <r>
    <x v="0"/>
    <s v="Travel_Rarely"/>
    <x v="4"/>
    <s v="Ex-Employees"/>
    <x v="1"/>
    <x v="2"/>
    <x v="34"/>
    <n v="45"/>
    <x v="1"/>
    <x v="1"/>
    <x v="1"/>
    <s v="Yes"/>
    <s v="Y"/>
    <n v="2"/>
    <n v="-2"/>
    <n v="0"/>
    <x v="17"/>
    <x v="0"/>
    <x v="0"/>
    <n v="1"/>
    <n v="0"/>
    <n v="813"/>
    <n v="1"/>
    <x v="3"/>
    <x v="0"/>
    <n v="2"/>
    <n v="61"/>
    <n v="3"/>
    <n v="1"/>
    <n v="4"/>
    <x v="34"/>
    <n v="3020"/>
    <n v="2"/>
    <n v="16"/>
    <n v="3"/>
    <n v="1"/>
    <n v="80"/>
    <n v="1"/>
    <n v="6"/>
    <n v="2"/>
    <n v="2"/>
    <n v="0"/>
    <n v="2"/>
    <n v="0"/>
  </r>
  <r>
    <x v="1"/>
    <s v="Travel_Rarely"/>
    <x v="0"/>
    <s v="Current Employees"/>
    <x v="1"/>
    <x v="2"/>
    <x v="35"/>
    <n v="46"/>
    <x v="0"/>
    <x v="1"/>
    <x v="2"/>
    <s v="No"/>
    <s v="Y"/>
    <n v="3"/>
    <n v="-2"/>
    <n v="0"/>
    <x v="23"/>
    <x v="1"/>
    <x v="1"/>
    <n v="0"/>
    <n v="1"/>
    <n v="1273"/>
    <n v="2"/>
    <x v="0"/>
    <x v="0"/>
    <n v="4"/>
    <n v="72"/>
    <n v="4"/>
    <n v="1"/>
    <n v="3"/>
    <x v="35"/>
    <n v="21923"/>
    <n v="1"/>
    <n v="12"/>
    <n v="3"/>
    <n v="4"/>
    <n v="80"/>
    <n v="2"/>
    <n v="6"/>
    <n v="2"/>
    <n v="5"/>
    <n v="3"/>
    <n v="1"/>
    <n v="4"/>
  </r>
  <r>
    <x v="0"/>
    <s v="Travel_Rarely"/>
    <x v="1"/>
    <s v="Ex-Employees"/>
    <x v="0"/>
    <x v="3"/>
    <x v="36"/>
    <n v="47"/>
    <x v="1"/>
    <x v="6"/>
    <x v="1"/>
    <s v="Yes"/>
    <s v="Y"/>
    <n v="2"/>
    <n v="-2"/>
    <n v="0"/>
    <x v="24"/>
    <x v="0"/>
    <x v="0"/>
    <n v="1"/>
    <n v="0"/>
    <n v="869"/>
    <n v="3"/>
    <x v="0"/>
    <x v="0"/>
    <n v="1"/>
    <n v="86"/>
    <n v="2"/>
    <n v="1"/>
    <n v="3"/>
    <x v="36"/>
    <n v="3810"/>
    <n v="1"/>
    <n v="14"/>
    <n v="3"/>
    <n v="3"/>
    <n v="80"/>
    <n v="0"/>
    <n v="3"/>
    <n v="3"/>
    <n v="3"/>
    <n v="2"/>
    <n v="0"/>
    <n v="2"/>
  </r>
  <r>
    <x v="1"/>
    <s v="Travel_Rarely"/>
    <x v="0"/>
    <s v="Current Employees"/>
    <x v="0"/>
    <x v="3"/>
    <x v="37"/>
    <n v="49"/>
    <x v="0"/>
    <x v="6"/>
    <x v="1"/>
    <s v="No"/>
    <s v="Y"/>
    <n v="3"/>
    <n v="-2"/>
    <n v="0"/>
    <x v="10"/>
    <x v="1"/>
    <x v="1"/>
    <n v="0"/>
    <n v="1"/>
    <n v="890"/>
    <n v="2"/>
    <x v="3"/>
    <x v="0"/>
    <n v="4"/>
    <n v="97"/>
    <n v="3"/>
    <n v="1"/>
    <n v="4"/>
    <x v="37"/>
    <n v="9687"/>
    <n v="1"/>
    <n v="13"/>
    <n v="3"/>
    <n v="1"/>
    <n v="80"/>
    <n v="0"/>
    <n v="2"/>
    <n v="3"/>
    <n v="2"/>
    <n v="2"/>
    <n v="2"/>
    <n v="2"/>
  </r>
  <r>
    <x v="1"/>
    <s v="Travel_Rarely"/>
    <x v="0"/>
    <s v="Current Employees"/>
    <x v="1"/>
    <x v="0"/>
    <x v="38"/>
    <n v="51"/>
    <x v="0"/>
    <x v="1"/>
    <x v="1"/>
    <s v="Yes"/>
    <s v="Y"/>
    <n v="3"/>
    <n v="-2"/>
    <n v="0"/>
    <x v="9"/>
    <x v="1"/>
    <x v="1"/>
    <n v="0"/>
    <n v="1"/>
    <n v="852"/>
    <n v="5"/>
    <x v="2"/>
    <x v="0"/>
    <n v="2"/>
    <n v="82"/>
    <n v="2"/>
    <n v="1"/>
    <n v="2"/>
    <x v="38"/>
    <n v="13072"/>
    <n v="9"/>
    <n v="14"/>
    <n v="3"/>
    <n v="4"/>
    <n v="80"/>
    <n v="1"/>
    <n v="6"/>
    <n v="4"/>
    <n v="1"/>
    <n v="1"/>
    <n v="0"/>
    <n v="0"/>
  </r>
  <r>
    <x v="1"/>
    <s v="Travel_Frequently"/>
    <x v="2"/>
    <s v="Current Employees"/>
    <x v="0"/>
    <x v="0"/>
    <x v="39"/>
    <n v="52"/>
    <x v="0"/>
    <x v="0"/>
    <x v="1"/>
    <s v="No"/>
    <s v="Y"/>
    <n v="3"/>
    <n v="-2"/>
    <n v="0"/>
    <x v="3"/>
    <x v="1"/>
    <x v="1"/>
    <n v="0"/>
    <n v="1"/>
    <n v="1141"/>
    <n v="1"/>
    <x v="3"/>
    <x v="0"/>
    <n v="3"/>
    <n v="42"/>
    <n v="4"/>
    <n v="2"/>
    <n v="2"/>
    <x v="39"/>
    <n v="3193"/>
    <n v="2"/>
    <n v="19"/>
    <n v="3"/>
    <n v="1"/>
    <n v="80"/>
    <n v="2"/>
    <n v="10"/>
    <n v="3"/>
    <n v="5"/>
    <n v="3"/>
    <n v="1"/>
    <n v="3"/>
  </r>
  <r>
    <x v="1"/>
    <s v="Travel_Rarely"/>
    <x v="0"/>
    <s v="Current Employees"/>
    <x v="1"/>
    <x v="1"/>
    <x v="40"/>
    <n v="53"/>
    <x v="1"/>
    <x v="2"/>
    <x v="2"/>
    <s v="No"/>
    <s v="Y"/>
    <n v="3"/>
    <n v="-2"/>
    <n v="0"/>
    <x v="10"/>
    <x v="1"/>
    <x v="1"/>
    <n v="0"/>
    <n v="1"/>
    <n v="464"/>
    <n v="4"/>
    <x v="0"/>
    <x v="0"/>
    <n v="3"/>
    <n v="75"/>
    <n v="3"/>
    <n v="1"/>
    <n v="4"/>
    <x v="40"/>
    <n v="10910"/>
    <n v="1"/>
    <n v="12"/>
    <n v="3"/>
    <n v="3"/>
    <n v="80"/>
    <n v="1"/>
    <n v="1"/>
    <n v="3"/>
    <n v="1"/>
    <n v="0"/>
    <n v="0"/>
    <n v="0"/>
  </r>
  <r>
    <x v="1"/>
    <s v="Travel_Rarely"/>
    <x v="2"/>
    <s v="Current Employees"/>
    <x v="1"/>
    <x v="0"/>
    <x v="41"/>
    <n v="54"/>
    <x v="0"/>
    <x v="2"/>
    <x v="2"/>
    <s v="No"/>
    <s v="Y"/>
    <n v="6"/>
    <n v="-2"/>
    <n v="0"/>
    <x v="4"/>
    <x v="1"/>
    <x v="1"/>
    <n v="0"/>
    <n v="1"/>
    <n v="1240"/>
    <n v="2"/>
    <x v="2"/>
    <x v="0"/>
    <n v="4"/>
    <n v="33"/>
    <n v="3"/>
    <n v="1"/>
    <n v="2"/>
    <x v="41"/>
    <n v="19715"/>
    <n v="1"/>
    <n v="13"/>
    <n v="3"/>
    <n v="4"/>
    <n v="80"/>
    <n v="1"/>
    <n v="1"/>
    <n v="3"/>
    <n v="1"/>
    <n v="0"/>
    <n v="0"/>
    <n v="0"/>
  </r>
  <r>
    <x v="0"/>
    <s v="Travel_Rarely"/>
    <x v="2"/>
    <s v="Ex-Employees"/>
    <x v="1"/>
    <x v="0"/>
    <x v="42"/>
    <n v="55"/>
    <x v="1"/>
    <x v="2"/>
    <x v="0"/>
    <s v="No"/>
    <s v="Y"/>
    <n v="2"/>
    <n v="-2"/>
    <n v="0"/>
    <x v="25"/>
    <x v="0"/>
    <x v="0"/>
    <n v="1"/>
    <n v="0"/>
    <n v="1357"/>
    <n v="25"/>
    <x v="3"/>
    <x v="0"/>
    <n v="1"/>
    <n v="48"/>
    <n v="1"/>
    <n v="1"/>
    <n v="2"/>
    <x v="34"/>
    <n v="10558"/>
    <n v="1"/>
    <n v="12"/>
    <n v="3"/>
    <n v="3"/>
    <n v="80"/>
    <n v="0"/>
    <n v="1"/>
    <n v="2"/>
    <n v="1"/>
    <n v="0"/>
    <n v="0"/>
    <n v="1"/>
  </r>
  <r>
    <x v="1"/>
    <s v="Travel_Frequently"/>
    <x v="2"/>
    <s v="Current Employees"/>
    <x v="0"/>
    <x v="0"/>
    <x v="43"/>
    <n v="56"/>
    <x v="1"/>
    <x v="0"/>
    <x v="0"/>
    <s v="No"/>
    <s v="Y"/>
    <n v="0"/>
    <n v="-2"/>
    <n v="0"/>
    <x v="4"/>
    <x v="1"/>
    <x v="1"/>
    <n v="0"/>
    <n v="1"/>
    <n v="994"/>
    <n v="8"/>
    <x v="3"/>
    <x v="0"/>
    <n v="4"/>
    <n v="37"/>
    <n v="3"/>
    <n v="3"/>
    <n v="2"/>
    <x v="42"/>
    <n v="2975"/>
    <n v="1"/>
    <n v="15"/>
    <n v="3"/>
    <n v="4"/>
    <n v="80"/>
    <n v="0"/>
    <n v="9"/>
    <n v="3"/>
    <n v="9"/>
    <n v="8"/>
    <n v="1"/>
    <n v="7"/>
  </r>
  <r>
    <x v="1"/>
    <s v="Travel_Frequently"/>
    <x v="2"/>
    <s v="Current Employees"/>
    <x v="1"/>
    <x v="2"/>
    <x v="44"/>
    <n v="57"/>
    <x v="0"/>
    <x v="2"/>
    <x v="0"/>
    <s v="No"/>
    <s v="Y"/>
    <n v="2"/>
    <n v="-2"/>
    <n v="0"/>
    <x v="7"/>
    <x v="1"/>
    <x v="1"/>
    <n v="0"/>
    <n v="1"/>
    <n v="721"/>
    <n v="1"/>
    <x v="0"/>
    <x v="0"/>
    <n v="3"/>
    <n v="58"/>
    <n v="3"/>
    <n v="2"/>
    <n v="4"/>
    <x v="20"/>
    <n v="10781"/>
    <n v="1"/>
    <n v="23"/>
    <n v="4"/>
    <n v="4"/>
    <n v="80"/>
    <n v="0"/>
    <n v="12"/>
    <n v="3"/>
    <n v="12"/>
    <n v="8"/>
    <n v="3"/>
    <n v="7"/>
  </r>
  <r>
    <x v="0"/>
    <s v="Travel_Rarely"/>
    <x v="0"/>
    <s v="Ex-Employees"/>
    <x v="1"/>
    <x v="4"/>
    <x v="45"/>
    <n v="58"/>
    <x v="0"/>
    <x v="7"/>
    <x v="1"/>
    <s v="No"/>
    <s v="Y"/>
    <n v="0"/>
    <n v="-2"/>
    <n v="0"/>
    <x v="0"/>
    <x v="0"/>
    <x v="0"/>
    <n v="1"/>
    <n v="0"/>
    <n v="1360"/>
    <n v="12"/>
    <x v="3"/>
    <x v="0"/>
    <n v="2"/>
    <n v="49"/>
    <n v="3"/>
    <n v="5"/>
    <n v="3"/>
    <x v="43"/>
    <n v="16280"/>
    <n v="1"/>
    <n v="12"/>
    <n v="3"/>
    <n v="4"/>
    <n v="80"/>
    <n v="0"/>
    <n v="23"/>
    <n v="3"/>
    <n v="22"/>
    <n v="15"/>
    <n v="15"/>
    <n v="8"/>
  </r>
  <r>
    <x v="1"/>
    <s v="Non-Travel"/>
    <x v="2"/>
    <s v="Current Employees"/>
    <x v="0"/>
    <x v="3"/>
    <x v="46"/>
    <n v="60"/>
    <x v="1"/>
    <x v="0"/>
    <x v="0"/>
    <s v="No"/>
    <s v="Y"/>
    <n v="2"/>
    <n v="-2"/>
    <n v="0"/>
    <x v="13"/>
    <x v="1"/>
    <x v="1"/>
    <n v="0"/>
    <n v="1"/>
    <n v="1065"/>
    <n v="23"/>
    <x v="2"/>
    <x v="0"/>
    <n v="2"/>
    <n v="72"/>
    <n v="3"/>
    <n v="2"/>
    <n v="3"/>
    <x v="44"/>
    <n v="10034"/>
    <n v="0"/>
    <n v="20"/>
    <n v="4"/>
    <n v="3"/>
    <n v="80"/>
    <n v="0"/>
    <n v="10"/>
    <n v="3"/>
    <n v="9"/>
    <n v="5"/>
    <n v="8"/>
    <n v="7"/>
  </r>
  <r>
    <x v="1"/>
    <s v="Travel_Rarely"/>
    <x v="0"/>
    <s v="Current Employees"/>
    <x v="1"/>
    <x v="0"/>
    <x v="47"/>
    <n v="61"/>
    <x v="1"/>
    <x v="1"/>
    <x v="1"/>
    <s v="No"/>
    <s v="Y"/>
    <n v="1"/>
    <n v="-2"/>
    <n v="0"/>
    <x v="2"/>
    <x v="1"/>
    <x v="1"/>
    <n v="0"/>
    <n v="1"/>
    <n v="408"/>
    <n v="19"/>
    <x v="0"/>
    <x v="0"/>
    <n v="2"/>
    <n v="73"/>
    <n v="3"/>
    <n v="1"/>
    <n v="2"/>
    <x v="45"/>
    <n v="10227"/>
    <n v="4"/>
    <n v="21"/>
    <n v="4"/>
    <n v="1"/>
    <n v="80"/>
    <n v="0"/>
    <n v="8"/>
    <n v="3"/>
    <n v="1"/>
    <n v="0"/>
    <n v="0"/>
    <n v="0"/>
  </r>
  <r>
    <x v="1"/>
    <s v="Travel_Frequently"/>
    <x v="1"/>
    <s v="Current Employees"/>
    <x v="0"/>
    <x v="3"/>
    <x v="48"/>
    <n v="62"/>
    <x v="1"/>
    <x v="0"/>
    <x v="0"/>
    <s v="Yes"/>
    <s v="Y"/>
    <n v="4"/>
    <n v="-2"/>
    <n v="0"/>
    <x v="21"/>
    <x v="1"/>
    <x v="1"/>
    <n v="0"/>
    <n v="1"/>
    <n v="1211"/>
    <n v="5"/>
    <x v="2"/>
    <x v="0"/>
    <n v="1"/>
    <n v="98"/>
    <n v="3"/>
    <n v="2"/>
    <n v="4"/>
    <x v="46"/>
    <n v="20445"/>
    <n v="4"/>
    <n v="21"/>
    <n v="4"/>
    <n v="3"/>
    <n v="80"/>
    <n v="0"/>
    <n v="14"/>
    <n v="3"/>
    <n v="9"/>
    <n v="6"/>
    <n v="0"/>
    <n v="8"/>
  </r>
  <r>
    <x v="1"/>
    <s v="Travel_Rarely"/>
    <x v="0"/>
    <s v="Current Employees"/>
    <x v="1"/>
    <x v="0"/>
    <x v="49"/>
    <n v="63"/>
    <x v="1"/>
    <x v="2"/>
    <x v="1"/>
    <s v="No"/>
    <s v="Y"/>
    <n v="2"/>
    <n v="-2"/>
    <n v="0"/>
    <x v="10"/>
    <x v="1"/>
    <x v="1"/>
    <n v="0"/>
    <n v="1"/>
    <n v="1229"/>
    <n v="8"/>
    <x v="1"/>
    <x v="0"/>
    <n v="4"/>
    <n v="36"/>
    <n v="4"/>
    <n v="1"/>
    <n v="2"/>
    <x v="47"/>
    <n v="4892"/>
    <n v="1"/>
    <n v="19"/>
    <n v="3"/>
    <n v="4"/>
    <n v="80"/>
    <n v="0"/>
    <n v="1"/>
    <n v="3"/>
    <n v="1"/>
    <n v="0"/>
    <n v="0"/>
    <n v="1"/>
  </r>
  <r>
    <x v="0"/>
    <s v="Travel_Rarely"/>
    <x v="1"/>
    <s v="Ex-Employees"/>
    <x v="1"/>
    <x v="0"/>
    <x v="50"/>
    <n v="64"/>
    <x v="1"/>
    <x v="2"/>
    <x v="0"/>
    <s v="Yes"/>
    <s v="Y"/>
    <n v="2"/>
    <n v="-2"/>
    <n v="0"/>
    <x v="26"/>
    <x v="0"/>
    <x v="0"/>
    <n v="1"/>
    <n v="0"/>
    <n v="626"/>
    <n v="1"/>
    <x v="0"/>
    <x v="0"/>
    <n v="1"/>
    <n v="98"/>
    <n v="2"/>
    <n v="3"/>
    <n v="2"/>
    <x v="48"/>
    <n v="19294"/>
    <n v="9"/>
    <n v="13"/>
    <n v="3"/>
    <n v="4"/>
    <n v="80"/>
    <n v="0"/>
    <n v="23"/>
    <n v="3"/>
    <n v="1"/>
    <n v="0"/>
    <n v="0"/>
    <n v="0"/>
  </r>
  <r>
    <x v="0"/>
    <s v="Travel_Rarely"/>
    <x v="2"/>
    <s v="Ex-Employees"/>
    <x v="1"/>
    <x v="4"/>
    <x v="51"/>
    <n v="65"/>
    <x v="1"/>
    <x v="2"/>
    <x v="0"/>
    <s v="Yes"/>
    <s v="Y"/>
    <n v="3"/>
    <n v="-2"/>
    <n v="0"/>
    <x v="14"/>
    <x v="0"/>
    <x v="0"/>
    <n v="1"/>
    <n v="0"/>
    <n v="1434"/>
    <n v="5"/>
    <x v="2"/>
    <x v="0"/>
    <n v="3"/>
    <n v="50"/>
    <n v="3"/>
    <n v="1"/>
    <n v="3"/>
    <x v="49"/>
    <n v="11179"/>
    <n v="1"/>
    <n v="13"/>
    <n v="3"/>
    <n v="3"/>
    <n v="80"/>
    <n v="0"/>
    <n v="2"/>
    <n v="2"/>
    <n v="2"/>
    <n v="2"/>
    <n v="2"/>
    <n v="2"/>
  </r>
  <r>
    <x v="1"/>
    <s v="Travel_Rarely"/>
    <x v="0"/>
    <s v="Current Employees"/>
    <x v="0"/>
    <x v="3"/>
    <x v="52"/>
    <n v="68"/>
    <x v="0"/>
    <x v="0"/>
    <x v="2"/>
    <s v="Yes"/>
    <s v="Y"/>
    <n v="2"/>
    <n v="-2"/>
    <n v="0"/>
    <x v="20"/>
    <x v="1"/>
    <x v="1"/>
    <n v="0"/>
    <n v="1"/>
    <n v="1488"/>
    <n v="1"/>
    <x v="4"/>
    <x v="0"/>
    <n v="2"/>
    <n v="75"/>
    <n v="3"/>
    <n v="2"/>
    <n v="4"/>
    <x v="50"/>
    <n v="4009"/>
    <n v="5"/>
    <n v="21"/>
    <n v="4"/>
    <n v="3"/>
    <n v="80"/>
    <n v="1"/>
    <n v="9"/>
    <n v="2"/>
    <n v="4"/>
    <n v="3"/>
    <n v="1"/>
    <n v="3"/>
  </r>
  <r>
    <x v="1"/>
    <s v="Non-Travel"/>
    <x v="0"/>
    <s v="Current Employees"/>
    <x v="1"/>
    <x v="2"/>
    <x v="53"/>
    <n v="70"/>
    <x v="1"/>
    <x v="4"/>
    <x v="1"/>
    <s v="Yes"/>
    <s v="Y"/>
    <n v="3"/>
    <n v="-2"/>
    <n v="0"/>
    <x v="10"/>
    <x v="1"/>
    <x v="1"/>
    <n v="0"/>
    <n v="1"/>
    <n v="1097"/>
    <n v="11"/>
    <x v="0"/>
    <x v="0"/>
    <n v="3"/>
    <n v="79"/>
    <n v="2"/>
    <n v="3"/>
    <n v="4"/>
    <x v="51"/>
    <n v="8302"/>
    <n v="2"/>
    <n v="13"/>
    <n v="3"/>
    <n v="3"/>
    <n v="80"/>
    <n v="1"/>
    <n v="10"/>
    <n v="3"/>
    <n v="4"/>
    <n v="0"/>
    <n v="2"/>
    <n v="3"/>
  </r>
  <r>
    <x v="1"/>
    <s v="Travel_Rarely"/>
    <x v="2"/>
    <s v="Current Employees"/>
    <x v="0"/>
    <x v="3"/>
    <x v="54"/>
    <n v="72"/>
    <x v="0"/>
    <x v="0"/>
    <x v="1"/>
    <s v="Yes"/>
    <s v="Y"/>
    <n v="2"/>
    <n v="-2"/>
    <n v="0"/>
    <x v="25"/>
    <x v="1"/>
    <x v="1"/>
    <n v="0"/>
    <n v="1"/>
    <n v="1443"/>
    <n v="23"/>
    <x v="3"/>
    <x v="0"/>
    <n v="3"/>
    <n v="47"/>
    <n v="2"/>
    <n v="2"/>
    <n v="4"/>
    <x v="52"/>
    <n v="21436"/>
    <n v="7"/>
    <n v="19"/>
    <n v="3"/>
    <n v="3"/>
    <n v="80"/>
    <n v="1"/>
    <n v="5"/>
    <n v="2"/>
    <n v="2"/>
    <n v="2"/>
    <n v="0"/>
    <n v="0"/>
  </r>
  <r>
    <x v="1"/>
    <s v="Travel_Frequently"/>
    <x v="2"/>
    <s v="Current Employees"/>
    <x v="1"/>
    <x v="0"/>
    <x v="55"/>
    <n v="73"/>
    <x v="0"/>
    <x v="7"/>
    <x v="0"/>
    <s v="Yes"/>
    <s v="Y"/>
    <n v="1"/>
    <n v="-2"/>
    <n v="0"/>
    <x v="3"/>
    <x v="1"/>
    <x v="1"/>
    <n v="0"/>
    <n v="1"/>
    <n v="515"/>
    <n v="1"/>
    <x v="0"/>
    <x v="0"/>
    <n v="1"/>
    <n v="98"/>
    <n v="3"/>
    <n v="3"/>
    <n v="2"/>
    <x v="53"/>
    <n v="15146"/>
    <n v="1"/>
    <n v="12"/>
    <n v="3"/>
    <n v="3"/>
    <n v="80"/>
    <n v="0"/>
    <n v="15"/>
    <n v="3"/>
    <n v="15"/>
    <n v="14"/>
    <n v="8"/>
    <n v="12"/>
  </r>
  <r>
    <x v="1"/>
    <s v="Travel_Frequently"/>
    <x v="0"/>
    <s v="Current Employees"/>
    <x v="0"/>
    <x v="0"/>
    <x v="56"/>
    <n v="74"/>
    <x v="1"/>
    <x v="0"/>
    <x v="1"/>
    <s v="No"/>
    <s v="Y"/>
    <n v="3"/>
    <n v="-2"/>
    <n v="0"/>
    <x v="10"/>
    <x v="1"/>
    <x v="1"/>
    <n v="0"/>
    <n v="1"/>
    <n v="853"/>
    <n v="18"/>
    <x v="4"/>
    <x v="0"/>
    <n v="2"/>
    <n v="71"/>
    <n v="3"/>
    <n v="3"/>
    <n v="2"/>
    <x v="54"/>
    <n v="11031"/>
    <n v="1"/>
    <n v="22"/>
    <n v="4"/>
    <n v="4"/>
    <n v="80"/>
    <n v="1"/>
    <n v="9"/>
    <n v="2"/>
    <n v="9"/>
    <n v="8"/>
    <n v="1"/>
    <n v="8"/>
  </r>
  <r>
    <x v="1"/>
    <s v="Travel_Rarely"/>
    <x v="0"/>
    <s v="Current Employees"/>
    <x v="1"/>
    <x v="2"/>
    <x v="57"/>
    <n v="75"/>
    <x v="0"/>
    <x v="2"/>
    <x v="1"/>
    <s v="Yes"/>
    <s v="Y"/>
    <n v="3"/>
    <n v="-2"/>
    <n v="0"/>
    <x v="10"/>
    <x v="1"/>
    <x v="1"/>
    <n v="0"/>
    <n v="1"/>
    <n v="1142"/>
    <n v="23"/>
    <x v="2"/>
    <x v="0"/>
    <n v="3"/>
    <n v="30"/>
    <n v="3"/>
    <n v="1"/>
    <n v="4"/>
    <x v="55"/>
    <n v="16002"/>
    <n v="3"/>
    <n v="15"/>
    <n v="3"/>
    <n v="3"/>
    <n v="80"/>
    <n v="1"/>
    <n v="4"/>
    <n v="3"/>
    <n v="2"/>
    <n v="2"/>
    <n v="2"/>
    <n v="2"/>
  </r>
  <r>
    <x v="1"/>
    <s v="Travel_Rarely"/>
    <x v="2"/>
    <s v="Current Employees"/>
    <x v="1"/>
    <x v="0"/>
    <x v="58"/>
    <n v="76"/>
    <x v="1"/>
    <x v="2"/>
    <x v="2"/>
    <s v="No"/>
    <s v="Y"/>
    <n v="3"/>
    <n v="-2"/>
    <n v="0"/>
    <x v="12"/>
    <x v="1"/>
    <x v="1"/>
    <n v="0"/>
    <n v="1"/>
    <n v="655"/>
    <n v="7"/>
    <x v="2"/>
    <x v="0"/>
    <n v="4"/>
    <n v="48"/>
    <n v="3"/>
    <n v="2"/>
    <n v="2"/>
    <x v="56"/>
    <n v="9528"/>
    <n v="3"/>
    <n v="22"/>
    <n v="4"/>
    <n v="4"/>
    <n v="80"/>
    <n v="1"/>
    <n v="10"/>
    <n v="2"/>
    <n v="7"/>
    <n v="7"/>
    <n v="1"/>
    <n v="7"/>
  </r>
  <r>
    <x v="1"/>
    <s v="Travel_Rarely"/>
    <x v="0"/>
    <s v="Current Employees"/>
    <x v="1"/>
    <x v="0"/>
    <x v="59"/>
    <n v="77"/>
    <x v="1"/>
    <x v="3"/>
    <x v="2"/>
    <s v="No"/>
    <s v="Y"/>
    <n v="2"/>
    <n v="-2"/>
    <n v="0"/>
    <x v="2"/>
    <x v="1"/>
    <x v="1"/>
    <n v="0"/>
    <n v="1"/>
    <n v="1115"/>
    <n v="1"/>
    <x v="2"/>
    <x v="0"/>
    <n v="1"/>
    <n v="51"/>
    <n v="2"/>
    <n v="2"/>
    <n v="2"/>
    <x v="0"/>
    <n v="2689"/>
    <n v="1"/>
    <n v="18"/>
    <n v="3"/>
    <n v="3"/>
    <n v="80"/>
    <n v="1"/>
    <n v="7"/>
    <n v="4"/>
    <n v="7"/>
    <n v="5"/>
    <n v="0"/>
    <n v="7"/>
  </r>
  <r>
    <x v="1"/>
    <s v="Travel_Rarely"/>
    <x v="2"/>
    <s v="Current Employees"/>
    <x v="1"/>
    <x v="2"/>
    <x v="60"/>
    <n v="78"/>
    <x v="1"/>
    <x v="3"/>
    <x v="1"/>
    <s v="Yes"/>
    <s v="Y"/>
    <n v="3"/>
    <n v="-2"/>
    <n v="0"/>
    <x v="5"/>
    <x v="1"/>
    <x v="1"/>
    <n v="0"/>
    <n v="1"/>
    <n v="427"/>
    <n v="1"/>
    <x v="3"/>
    <x v="0"/>
    <n v="1"/>
    <n v="33"/>
    <n v="3"/>
    <n v="2"/>
    <n v="4"/>
    <x v="57"/>
    <n v="10877"/>
    <n v="1"/>
    <n v="22"/>
    <n v="4"/>
    <n v="2"/>
    <n v="80"/>
    <n v="1"/>
    <n v="9"/>
    <n v="3"/>
    <n v="9"/>
    <n v="8"/>
    <n v="7"/>
    <n v="8"/>
  </r>
  <r>
    <x v="1"/>
    <s v="Travel_Frequently"/>
    <x v="0"/>
    <s v="Current Employees"/>
    <x v="1"/>
    <x v="0"/>
    <x v="61"/>
    <n v="79"/>
    <x v="0"/>
    <x v="2"/>
    <x v="0"/>
    <s v="No"/>
    <s v="Y"/>
    <n v="2"/>
    <n v="-2"/>
    <n v="0"/>
    <x v="8"/>
    <x v="1"/>
    <x v="1"/>
    <n v="0"/>
    <n v="1"/>
    <n v="653"/>
    <n v="29"/>
    <x v="4"/>
    <x v="0"/>
    <n v="4"/>
    <n v="50"/>
    <n v="3"/>
    <n v="2"/>
    <n v="2"/>
    <x v="58"/>
    <n v="5456"/>
    <n v="1"/>
    <n v="11"/>
    <n v="3"/>
    <n v="4"/>
    <n v="80"/>
    <n v="0"/>
    <n v="10"/>
    <n v="3"/>
    <n v="10"/>
    <n v="3"/>
    <n v="9"/>
    <n v="9"/>
  </r>
  <r>
    <x v="1"/>
    <s v="Travel_Rarely"/>
    <x v="1"/>
    <s v="Current Employees"/>
    <x v="1"/>
    <x v="2"/>
    <x v="62"/>
    <n v="80"/>
    <x v="0"/>
    <x v="7"/>
    <x v="2"/>
    <s v="Yes"/>
    <s v="Y"/>
    <n v="2"/>
    <n v="-2"/>
    <n v="0"/>
    <x v="24"/>
    <x v="1"/>
    <x v="1"/>
    <n v="0"/>
    <n v="1"/>
    <n v="989"/>
    <n v="7"/>
    <x v="0"/>
    <x v="0"/>
    <n v="2"/>
    <n v="43"/>
    <n v="2"/>
    <n v="5"/>
    <n v="3"/>
    <x v="59"/>
    <n v="16701"/>
    <n v="5"/>
    <n v="12"/>
    <n v="3"/>
    <n v="4"/>
    <n v="80"/>
    <n v="1"/>
    <n v="29"/>
    <n v="2"/>
    <n v="27"/>
    <n v="3"/>
    <n v="13"/>
    <n v="8"/>
  </r>
  <r>
    <x v="1"/>
    <s v="Travel_Rarely"/>
    <x v="3"/>
    <s v="Current Employees"/>
    <x v="0"/>
    <x v="0"/>
    <x v="63"/>
    <n v="81"/>
    <x v="0"/>
    <x v="0"/>
    <x v="0"/>
    <s v="No"/>
    <s v="Y"/>
    <n v="3"/>
    <n v="-2"/>
    <n v="0"/>
    <x v="6"/>
    <x v="1"/>
    <x v="1"/>
    <n v="0"/>
    <n v="1"/>
    <n v="1435"/>
    <n v="25"/>
    <x v="3"/>
    <x v="0"/>
    <n v="1"/>
    <n v="99"/>
    <n v="3"/>
    <n v="3"/>
    <n v="2"/>
    <x v="60"/>
    <n v="2354"/>
    <n v="7"/>
    <n v="11"/>
    <n v="3"/>
    <n v="4"/>
    <n v="80"/>
    <n v="0"/>
    <n v="28"/>
    <n v="2"/>
    <n v="21"/>
    <n v="16"/>
    <n v="7"/>
    <n v="9"/>
  </r>
  <r>
    <x v="1"/>
    <s v="Travel_Rarely"/>
    <x v="0"/>
    <s v="Current Employees"/>
    <x v="1"/>
    <x v="4"/>
    <x v="64"/>
    <n v="83"/>
    <x v="0"/>
    <x v="4"/>
    <x v="2"/>
    <s v="No"/>
    <s v="Y"/>
    <n v="2"/>
    <n v="-2"/>
    <n v="0"/>
    <x v="9"/>
    <x v="1"/>
    <x v="1"/>
    <n v="0"/>
    <n v="1"/>
    <n v="1223"/>
    <n v="8"/>
    <x v="3"/>
    <x v="0"/>
    <n v="3"/>
    <n v="59"/>
    <n v="3"/>
    <n v="3"/>
    <n v="3"/>
    <x v="61"/>
    <n v="8202"/>
    <n v="1"/>
    <n v="13"/>
    <n v="3"/>
    <n v="2"/>
    <n v="80"/>
    <n v="3"/>
    <n v="17"/>
    <n v="3"/>
    <n v="17"/>
    <n v="14"/>
    <n v="12"/>
    <n v="8"/>
  </r>
  <r>
    <x v="1"/>
    <s v="Travel_Rarely"/>
    <x v="3"/>
    <s v="Current Employees"/>
    <x v="1"/>
    <x v="2"/>
    <x v="65"/>
    <n v="84"/>
    <x v="0"/>
    <x v="5"/>
    <x v="2"/>
    <s v="Yes"/>
    <s v="Y"/>
    <n v="2"/>
    <n v="-2"/>
    <n v="0"/>
    <x v="27"/>
    <x v="1"/>
    <x v="1"/>
    <n v="0"/>
    <n v="1"/>
    <n v="836"/>
    <n v="8"/>
    <x v="3"/>
    <x v="0"/>
    <n v="4"/>
    <n v="33"/>
    <n v="3"/>
    <n v="4"/>
    <n v="3"/>
    <x v="62"/>
    <n v="19730"/>
    <n v="2"/>
    <n v="14"/>
    <n v="3"/>
    <n v="3"/>
    <n v="80"/>
    <n v="3"/>
    <n v="21"/>
    <n v="3"/>
    <n v="5"/>
    <n v="0"/>
    <n v="0"/>
    <n v="2"/>
  </r>
  <r>
    <x v="1"/>
    <s v="Travel_Frequently"/>
    <x v="0"/>
    <s v="Current Employees"/>
    <x v="1"/>
    <x v="0"/>
    <x v="66"/>
    <n v="85"/>
    <x v="1"/>
    <x v="3"/>
    <x v="0"/>
    <s v="No"/>
    <s v="Y"/>
    <n v="3"/>
    <n v="-2"/>
    <n v="0"/>
    <x v="9"/>
    <x v="1"/>
    <x v="1"/>
    <n v="0"/>
    <n v="1"/>
    <n v="1195"/>
    <n v="11"/>
    <x v="3"/>
    <x v="0"/>
    <n v="2"/>
    <n v="95"/>
    <n v="2"/>
    <n v="2"/>
    <n v="2"/>
    <x v="63"/>
    <n v="22656"/>
    <n v="1"/>
    <n v="13"/>
    <n v="3"/>
    <n v="3"/>
    <n v="80"/>
    <n v="0"/>
    <n v="6"/>
    <n v="3"/>
    <n v="6"/>
    <n v="5"/>
    <n v="0"/>
    <n v="3"/>
  </r>
  <r>
    <x v="1"/>
    <s v="Travel_Rarely"/>
    <x v="1"/>
    <s v="Current Employees"/>
    <x v="1"/>
    <x v="0"/>
    <x v="67"/>
    <n v="86"/>
    <x v="1"/>
    <x v="1"/>
    <x v="2"/>
    <s v="No"/>
    <s v="Y"/>
    <n v="2"/>
    <n v="-2"/>
    <n v="0"/>
    <x v="28"/>
    <x v="1"/>
    <x v="1"/>
    <n v="0"/>
    <n v="1"/>
    <n v="1339"/>
    <n v="7"/>
    <x v="3"/>
    <x v="0"/>
    <n v="2"/>
    <n v="59"/>
    <n v="3"/>
    <n v="3"/>
    <n v="2"/>
    <x v="64"/>
    <n v="18787"/>
    <n v="2"/>
    <n v="17"/>
    <n v="3"/>
    <n v="3"/>
    <n v="80"/>
    <n v="1"/>
    <n v="25"/>
    <n v="3"/>
    <n v="1"/>
    <n v="0"/>
    <n v="0"/>
    <n v="0"/>
  </r>
  <r>
    <x v="1"/>
    <s v="Travel_Frequently"/>
    <x v="0"/>
    <s v="Current Employees"/>
    <x v="1"/>
    <x v="2"/>
    <x v="68"/>
    <n v="88"/>
    <x v="1"/>
    <x v="1"/>
    <x v="1"/>
    <s v="No"/>
    <s v="Y"/>
    <n v="2"/>
    <n v="-2"/>
    <n v="0"/>
    <x v="10"/>
    <x v="1"/>
    <x v="1"/>
    <n v="0"/>
    <n v="1"/>
    <n v="664"/>
    <n v="1"/>
    <x v="3"/>
    <x v="0"/>
    <n v="2"/>
    <n v="79"/>
    <n v="3"/>
    <n v="1"/>
    <n v="4"/>
    <x v="65"/>
    <n v="5868"/>
    <n v="4"/>
    <n v="13"/>
    <n v="3"/>
    <n v="4"/>
    <n v="80"/>
    <n v="1"/>
    <n v="5"/>
    <n v="2"/>
    <n v="3"/>
    <n v="2"/>
    <n v="1"/>
    <n v="2"/>
  </r>
  <r>
    <x v="0"/>
    <s v="Travel_Rarely"/>
    <x v="0"/>
    <s v="Ex-Employees"/>
    <x v="1"/>
    <x v="2"/>
    <x v="69"/>
    <n v="90"/>
    <x v="1"/>
    <x v="1"/>
    <x v="1"/>
    <s v="Yes"/>
    <s v="Y"/>
    <n v="0"/>
    <n v="-2"/>
    <n v="0"/>
    <x v="9"/>
    <x v="0"/>
    <x v="0"/>
    <n v="1"/>
    <n v="0"/>
    <n v="318"/>
    <n v="9"/>
    <x v="3"/>
    <x v="0"/>
    <n v="4"/>
    <n v="79"/>
    <n v="2"/>
    <n v="1"/>
    <n v="3"/>
    <x v="66"/>
    <n v="21777"/>
    <n v="0"/>
    <n v="17"/>
    <n v="3"/>
    <n v="1"/>
    <n v="80"/>
    <n v="1"/>
    <n v="2"/>
    <n v="2"/>
    <n v="1"/>
    <n v="0"/>
    <n v="0"/>
    <n v="0"/>
  </r>
  <r>
    <x v="1"/>
    <s v="Travel_Frequently"/>
    <x v="3"/>
    <s v="Current Employees"/>
    <x v="0"/>
    <x v="0"/>
    <x v="70"/>
    <n v="91"/>
    <x v="0"/>
    <x v="0"/>
    <x v="0"/>
    <s v="No"/>
    <s v="Y"/>
    <n v="2"/>
    <n v="-2"/>
    <n v="0"/>
    <x v="6"/>
    <x v="1"/>
    <x v="1"/>
    <n v="0"/>
    <n v="1"/>
    <n v="1225"/>
    <n v="1"/>
    <x v="1"/>
    <x v="0"/>
    <n v="1"/>
    <n v="57"/>
    <n v="2"/>
    <n v="2"/>
    <n v="2"/>
    <x v="67"/>
    <n v="24668"/>
    <n v="7"/>
    <n v="11"/>
    <n v="3"/>
    <n v="4"/>
    <n v="80"/>
    <n v="0"/>
    <n v="20"/>
    <n v="2"/>
    <n v="4"/>
    <n v="3"/>
    <n v="1"/>
    <n v="3"/>
  </r>
  <r>
    <x v="1"/>
    <s v="Travel_Rarely"/>
    <x v="2"/>
    <s v="Current Employees"/>
    <x v="1"/>
    <x v="0"/>
    <x v="71"/>
    <n v="94"/>
    <x v="1"/>
    <x v="1"/>
    <x v="1"/>
    <s v="No"/>
    <s v="Y"/>
    <n v="3"/>
    <n v="-2"/>
    <n v="0"/>
    <x v="11"/>
    <x v="1"/>
    <x v="1"/>
    <n v="0"/>
    <n v="1"/>
    <n v="1328"/>
    <n v="2"/>
    <x v="3"/>
    <x v="0"/>
    <n v="3"/>
    <n v="76"/>
    <n v="3"/>
    <n v="1"/>
    <n v="2"/>
    <x v="68"/>
    <n v="4956"/>
    <n v="0"/>
    <n v="23"/>
    <n v="4"/>
    <n v="4"/>
    <n v="80"/>
    <n v="1"/>
    <n v="6"/>
    <n v="3"/>
    <n v="5"/>
    <n v="4"/>
    <n v="0"/>
    <n v="4"/>
  </r>
  <r>
    <x v="1"/>
    <s v="Travel_Rarely"/>
    <x v="2"/>
    <s v="Current Employees"/>
    <x v="1"/>
    <x v="2"/>
    <x v="72"/>
    <n v="95"/>
    <x v="1"/>
    <x v="1"/>
    <x v="0"/>
    <s v="No"/>
    <s v="Y"/>
    <n v="4"/>
    <n v="-2"/>
    <n v="0"/>
    <x v="12"/>
    <x v="1"/>
    <x v="1"/>
    <n v="0"/>
    <n v="1"/>
    <n v="1082"/>
    <n v="1"/>
    <x v="2"/>
    <x v="0"/>
    <n v="3"/>
    <n v="87"/>
    <n v="3"/>
    <n v="1"/>
    <n v="3"/>
    <x v="69"/>
    <n v="18775"/>
    <n v="1"/>
    <n v="17"/>
    <n v="3"/>
    <n v="2"/>
    <n v="80"/>
    <n v="0"/>
    <n v="1"/>
    <n v="3"/>
    <n v="1"/>
    <n v="1"/>
    <n v="1"/>
    <n v="0"/>
  </r>
  <r>
    <x v="1"/>
    <s v="Travel_Rarely"/>
    <x v="2"/>
    <s v="Current Employees"/>
    <x v="1"/>
    <x v="0"/>
    <x v="73"/>
    <n v="96"/>
    <x v="1"/>
    <x v="1"/>
    <x v="1"/>
    <s v="No"/>
    <s v="Y"/>
    <n v="3"/>
    <n v="-2"/>
    <n v="0"/>
    <x v="5"/>
    <x v="1"/>
    <x v="1"/>
    <n v="0"/>
    <n v="1"/>
    <n v="548"/>
    <n v="1"/>
    <x v="3"/>
    <x v="0"/>
    <n v="2"/>
    <n v="66"/>
    <n v="3"/>
    <n v="2"/>
    <n v="2"/>
    <x v="70"/>
    <n v="7346"/>
    <n v="1"/>
    <n v="17"/>
    <n v="3"/>
    <n v="2"/>
    <n v="80"/>
    <n v="2"/>
    <n v="10"/>
    <n v="3"/>
    <n v="10"/>
    <n v="4"/>
    <n v="0"/>
    <n v="9"/>
  </r>
  <r>
    <x v="1"/>
    <s v="Travel_Rarely"/>
    <x v="0"/>
    <s v="Current Employees"/>
    <x v="1"/>
    <x v="0"/>
    <x v="74"/>
    <n v="97"/>
    <x v="0"/>
    <x v="2"/>
    <x v="1"/>
    <s v="No"/>
    <s v="Y"/>
    <n v="3"/>
    <n v="-2"/>
    <n v="0"/>
    <x v="9"/>
    <x v="1"/>
    <x v="1"/>
    <n v="0"/>
    <n v="1"/>
    <n v="132"/>
    <n v="6"/>
    <x v="3"/>
    <x v="0"/>
    <n v="2"/>
    <n v="55"/>
    <n v="4"/>
    <n v="1"/>
    <n v="2"/>
    <x v="71"/>
    <n v="22002"/>
    <n v="3"/>
    <n v="12"/>
    <n v="3"/>
    <n v="2"/>
    <n v="80"/>
    <n v="0"/>
    <n v="5"/>
    <n v="3"/>
    <n v="1"/>
    <n v="0"/>
    <n v="0"/>
    <n v="0"/>
  </r>
  <r>
    <x v="1"/>
    <s v="Travel_Rarely"/>
    <x v="2"/>
    <s v="Current Employees"/>
    <x v="1"/>
    <x v="0"/>
    <x v="75"/>
    <n v="98"/>
    <x v="0"/>
    <x v="3"/>
    <x v="0"/>
    <s v="No"/>
    <s v="Y"/>
    <n v="2"/>
    <n v="-2"/>
    <n v="0"/>
    <x v="12"/>
    <x v="1"/>
    <x v="1"/>
    <n v="0"/>
    <n v="1"/>
    <n v="746"/>
    <n v="8"/>
    <x v="2"/>
    <x v="0"/>
    <n v="3"/>
    <n v="61"/>
    <n v="3"/>
    <n v="2"/>
    <n v="2"/>
    <x v="72"/>
    <n v="20682"/>
    <n v="1"/>
    <n v="23"/>
    <n v="4"/>
    <n v="4"/>
    <n v="80"/>
    <n v="0"/>
    <n v="11"/>
    <n v="3"/>
    <n v="11"/>
    <n v="7"/>
    <n v="1"/>
    <n v="8"/>
  </r>
  <r>
    <x v="1"/>
    <s v="Travel_Rarely"/>
    <x v="0"/>
    <s v="Current Employees"/>
    <x v="0"/>
    <x v="3"/>
    <x v="76"/>
    <n v="100"/>
    <x v="1"/>
    <x v="0"/>
    <x v="0"/>
    <s v="No"/>
    <s v="Y"/>
    <n v="2"/>
    <n v="-2"/>
    <n v="0"/>
    <x v="10"/>
    <x v="1"/>
    <x v="1"/>
    <n v="0"/>
    <n v="1"/>
    <n v="776"/>
    <n v="1"/>
    <x v="2"/>
    <x v="0"/>
    <n v="3"/>
    <n v="32"/>
    <n v="2"/>
    <n v="2"/>
    <n v="4"/>
    <x v="73"/>
    <n v="23016"/>
    <n v="0"/>
    <n v="14"/>
    <n v="3"/>
    <n v="2"/>
    <n v="80"/>
    <n v="0"/>
    <n v="16"/>
    <n v="3"/>
    <n v="15"/>
    <n v="13"/>
    <n v="2"/>
    <n v="8"/>
  </r>
  <r>
    <x v="1"/>
    <s v="Travel_Rarely"/>
    <x v="1"/>
    <s v="Current Employees"/>
    <x v="1"/>
    <x v="1"/>
    <x v="77"/>
    <n v="101"/>
    <x v="1"/>
    <x v="7"/>
    <x v="1"/>
    <s v="Yes"/>
    <s v="Y"/>
    <n v="3"/>
    <n v="-2"/>
    <n v="0"/>
    <x v="28"/>
    <x v="1"/>
    <x v="1"/>
    <n v="0"/>
    <n v="1"/>
    <n v="193"/>
    <n v="6"/>
    <x v="2"/>
    <x v="0"/>
    <n v="4"/>
    <n v="52"/>
    <n v="3"/>
    <n v="3"/>
    <n v="4"/>
    <x v="74"/>
    <n v="15067"/>
    <n v="4"/>
    <n v="14"/>
    <n v="3"/>
    <n v="2"/>
    <n v="80"/>
    <n v="0"/>
    <n v="17"/>
    <n v="4"/>
    <n v="0"/>
    <n v="0"/>
    <n v="0"/>
    <n v="0"/>
  </r>
  <r>
    <x v="1"/>
    <s v="Travel_Rarely"/>
    <x v="0"/>
    <s v="Current Employees"/>
    <x v="1"/>
    <x v="2"/>
    <x v="78"/>
    <n v="102"/>
    <x v="1"/>
    <x v="7"/>
    <x v="0"/>
    <s v="No"/>
    <s v="Y"/>
    <n v="3"/>
    <n v="-2"/>
    <n v="0"/>
    <x v="2"/>
    <x v="1"/>
    <x v="1"/>
    <n v="0"/>
    <n v="1"/>
    <n v="397"/>
    <n v="7"/>
    <x v="2"/>
    <x v="0"/>
    <n v="1"/>
    <n v="30"/>
    <n v="3"/>
    <n v="3"/>
    <n v="3"/>
    <x v="75"/>
    <n v="25258"/>
    <n v="4"/>
    <n v="13"/>
    <n v="3"/>
    <n v="1"/>
    <n v="80"/>
    <n v="0"/>
    <n v="16"/>
    <n v="4"/>
    <n v="5"/>
    <n v="2"/>
    <n v="0"/>
    <n v="2"/>
  </r>
  <r>
    <x v="1"/>
    <s v="Travel_Rarely"/>
    <x v="1"/>
    <s v="Current Employees"/>
    <x v="2"/>
    <x v="2"/>
    <x v="79"/>
    <n v="103"/>
    <x v="1"/>
    <x v="8"/>
    <x v="2"/>
    <s v="Yes"/>
    <s v="Y"/>
    <n v="2"/>
    <n v="-2"/>
    <n v="0"/>
    <x v="21"/>
    <x v="1"/>
    <x v="1"/>
    <n v="0"/>
    <n v="1"/>
    <n v="945"/>
    <n v="5"/>
    <x v="0"/>
    <x v="0"/>
    <n v="2"/>
    <n v="80"/>
    <n v="3"/>
    <n v="2"/>
    <n v="3"/>
    <x v="76"/>
    <n v="10425"/>
    <n v="8"/>
    <n v="22"/>
    <n v="4"/>
    <n v="4"/>
    <n v="80"/>
    <n v="1"/>
    <n v="16"/>
    <n v="3"/>
    <n v="4"/>
    <n v="2"/>
    <n v="0"/>
    <n v="2"/>
  </r>
  <r>
    <x v="1"/>
    <s v="Travel_Rarely"/>
    <x v="2"/>
    <s v="Current Employees"/>
    <x v="1"/>
    <x v="0"/>
    <x v="80"/>
    <n v="104"/>
    <x v="1"/>
    <x v="2"/>
    <x v="1"/>
    <s v="Yes"/>
    <s v="Y"/>
    <n v="1"/>
    <n v="-2"/>
    <n v="0"/>
    <x v="7"/>
    <x v="1"/>
    <x v="1"/>
    <n v="0"/>
    <n v="1"/>
    <n v="852"/>
    <n v="1"/>
    <x v="1"/>
    <x v="0"/>
    <n v="4"/>
    <n v="55"/>
    <n v="2"/>
    <n v="2"/>
    <n v="2"/>
    <x v="77"/>
    <n v="15998"/>
    <n v="1"/>
    <n v="12"/>
    <n v="3"/>
    <n v="3"/>
    <n v="80"/>
    <n v="2"/>
    <n v="10"/>
    <n v="2"/>
    <n v="10"/>
    <n v="8"/>
    <n v="3"/>
    <n v="0"/>
  </r>
  <r>
    <x v="1"/>
    <s v="Travel_Rarely"/>
    <x v="0"/>
    <s v="Current Employees"/>
    <x v="1"/>
    <x v="2"/>
    <x v="81"/>
    <n v="105"/>
    <x v="1"/>
    <x v="1"/>
    <x v="0"/>
    <s v="No"/>
    <s v="Y"/>
    <n v="3"/>
    <n v="-2"/>
    <n v="0"/>
    <x v="10"/>
    <x v="1"/>
    <x v="1"/>
    <n v="0"/>
    <n v="1"/>
    <n v="1214"/>
    <n v="1"/>
    <x v="3"/>
    <x v="0"/>
    <n v="2"/>
    <n v="30"/>
    <n v="2"/>
    <n v="1"/>
    <n v="3"/>
    <x v="78"/>
    <n v="26278"/>
    <n v="1"/>
    <n v="18"/>
    <n v="3"/>
    <n v="1"/>
    <n v="80"/>
    <n v="0"/>
    <n v="6"/>
    <n v="3"/>
    <n v="6"/>
    <n v="4"/>
    <n v="0"/>
    <n v="4"/>
  </r>
  <r>
    <x v="1"/>
    <s v="Travel_Rarely"/>
    <x v="3"/>
    <s v="Current Employees"/>
    <x v="0"/>
    <x v="0"/>
    <x v="82"/>
    <n v="106"/>
    <x v="1"/>
    <x v="0"/>
    <x v="1"/>
    <s v="No"/>
    <s v="Y"/>
    <n v="4"/>
    <n v="-2"/>
    <n v="0"/>
    <x v="27"/>
    <x v="1"/>
    <x v="1"/>
    <n v="0"/>
    <n v="1"/>
    <n v="111"/>
    <n v="1"/>
    <x v="0"/>
    <x v="0"/>
    <n v="1"/>
    <n v="70"/>
    <n v="3"/>
    <n v="3"/>
    <n v="2"/>
    <x v="79"/>
    <n v="18092"/>
    <n v="3"/>
    <n v="14"/>
    <n v="3"/>
    <n v="4"/>
    <n v="80"/>
    <n v="1"/>
    <n v="24"/>
    <n v="3"/>
    <n v="1"/>
    <n v="0"/>
    <n v="1"/>
    <n v="0"/>
  </r>
  <r>
    <x v="1"/>
    <s v="Non-Travel"/>
    <x v="0"/>
    <s v="Current Employees"/>
    <x v="1"/>
    <x v="2"/>
    <x v="83"/>
    <n v="107"/>
    <x v="0"/>
    <x v="1"/>
    <x v="2"/>
    <s v="Yes"/>
    <s v="Y"/>
    <n v="3"/>
    <n v="-2"/>
    <n v="0"/>
    <x v="8"/>
    <x v="1"/>
    <x v="1"/>
    <n v="0"/>
    <n v="1"/>
    <n v="573"/>
    <n v="6"/>
    <x v="3"/>
    <x v="0"/>
    <n v="2"/>
    <n v="79"/>
    <n v="1"/>
    <n v="2"/>
    <n v="4"/>
    <x v="80"/>
    <n v="15717"/>
    <n v="7"/>
    <n v="12"/>
    <n v="3"/>
    <n v="4"/>
    <n v="80"/>
    <n v="3"/>
    <n v="17"/>
    <n v="3"/>
    <n v="13"/>
    <n v="11"/>
    <n v="1"/>
    <n v="9"/>
  </r>
  <r>
    <x v="1"/>
    <s v="Travel_Rarely"/>
    <x v="2"/>
    <s v="Current Employees"/>
    <x v="1"/>
    <x v="2"/>
    <x v="84"/>
    <n v="110"/>
    <x v="1"/>
    <x v="3"/>
    <x v="1"/>
    <s v="No"/>
    <s v="Y"/>
    <n v="2"/>
    <n v="-2"/>
    <n v="0"/>
    <x v="13"/>
    <x v="1"/>
    <x v="1"/>
    <n v="0"/>
    <n v="1"/>
    <n v="1153"/>
    <n v="1"/>
    <x v="0"/>
    <x v="0"/>
    <n v="1"/>
    <n v="94"/>
    <n v="3"/>
    <n v="2"/>
    <n v="3"/>
    <x v="81"/>
    <n v="17736"/>
    <n v="1"/>
    <n v="15"/>
    <n v="3"/>
    <n v="3"/>
    <n v="80"/>
    <n v="0"/>
    <n v="5"/>
    <n v="3"/>
    <n v="5"/>
    <n v="2"/>
    <n v="1"/>
    <n v="3"/>
  </r>
  <r>
    <x v="1"/>
    <s v="Travel_Rarely"/>
    <x v="3"/>
    <s v="Current Employees"/>
    <x v="1"/>
    <x v="0"/>
    <x v="85"/>
    <n v="112"/>
    <x v="1"/>
    <x v="3"/>
    <x v="0"/>
    <s v="No"/>
    <s v="Y"/>
    <n v="3"/>
    <n v="-2"/>
    <n v="0"/>
    <x v="29"/>
    <x v="1"/>
    <x v="1"/>
    <n v="0"/>
    <n v="1"/>
    <n v="1400"/>
    <n v="7"/>
    <x v="3"/>
    <x v="0"/>
    <n v="4"/>
    <n v="49"/>
    <n v="1"/>
    <n v="3"/>
    <n v="2"/>
    <x v="82"/>
    <n v="21698"/>
    <n v="4"/>
    <n v="11"/>
    <n v="3"/>
    <n v="1"/>
    <n v="80"/>
    <n v="0"/>
    <n v="37"/>
    <n v="2"/>
    <n v="6"/>
    <n v="4"/>
    <n v="0"/>
    <n v="2"/>
  </r>
  <r>
    <x v="1"/>
    <s v="Travel_Rarely"/>
    <x v="4"/>
    <s v="Current Employees"/>
    <x v="0"/>
    <x v="4"/>
    <x v="86"/>
    <n v="113"/>
    <x v="1"/>
    <x v="6"/>
    <x v="2"/>
    <s v="No"/>
    <s v="Y"/>
    <n v="3"/>
    <n v="-2"/>
    <n v="0"/>
    <x v="30"/>
    <x v="1"/>
    <x v="1"/>
    <n v="0"/>
    <n v="1"/>
    <n v="541"/>
    <n v="2"/>
    <x v="1"/>
    <x v="0"/>
    <n v="3"/>
    <n v="62"/>
    <n v="3"/>
    <n v="1"/>
    <n v="4"/>
    <x v="83"/>
    <n v="9518"/>
    <n v="3"/>
    <n v="13"/>
    <n v="3"/>
    <n v="3"/>
    <n v="80"/>
    <n v="1"/>
    <n v="3"/>
    <n v="3"/>
    <n v="0"/>
    <n v="0"/>
    <n v="0"/>
    <n v="0"/>
  </r>
  <r>
    <x v="1"/>
    <s v="Travel_Rarely"/>
    <x v="1"/>
    <s v="Current Employees"/>
    <x v="1"/>
    <x v="0"/>
    <x v="87"/>
    <n v="116"/>
    <x v="1"/>
    <x v="2"/>
    <x v="1"/>
    <s v="No"/>
    <s v="Y"/>
    <n v="4"/>
    <n v="-2"/>
    <n v="0"/>
    <x v="31"/>
    <x v="1"/>
    <x v="1"/>
    <n v="0"/>
    <n v="1"/>
    <n v="432"/>
    <n v="9"/>
    <x v="2"/>
    <x v="0"/>
    <n v="4"/>
    <n v="96"/>
    <n v="3"/>
    <n v="1"/>
    <n v="2"/>
    <x v="84"/>
    <n v="18725"/>
    <n v="3"/>
    <n v="23"/>
    <n v="4"/>
    <n v="2"/>
    <n v="80"/>
    <n v="2"/>
    <n v="10"/>
    <n v="3"/>
    <n v="4"/>
    <n v="2"/>
    <n v="0"/>
    <n v="3"/>
  </r>
  <r>
    <x v="1"/>
    <s v="Travel_Rarely"/>
    <x v="2"/>
    <s v="Current Employees"/>
    <x v="1"/>
    <x v="0"/>
    <x v="88"/>
    <n v="117"/>
    <x v="1"/>
    <x v="4"/>
    <x v="1"/>
    <s v="No"/>
    <s v="Y"/>
    <n v="3"/>
    <n v="-2"/>
    <n v="0"/>
    <x v="7"/>
    <x v="1"/>
    <x v="1"/>
    <n v="0"/>
    <n v="1"/>
    <n v="288"/>
    <n v="2"/>
    <x v="3"/>
    <x v="0"/>
    <n v="3"/>
    <n v="99"/>
    <n v="2"/>
    <n v="2"/>
    <n v="2"/>
    <x v="85"/>
    <n v="15830"/>
    <n v="1"/>
    <n v="19"/>
    <n v="3"/>
    <n v="1"/>
    <n v="80"/>
    <n v="3"/>
    <n v="11"/>
    <n v="3"/>
    <n v="11"/>
    <n v="10"/>
    <n v="10"/>
    <n v="8"/>
  </r>
  <r>
    <x v="0"/>
    <s v="Travel_Rarely"/>
    <x v="1"/>
    <s v="Ex-Employees"/>
    <x v="0"/>
    <x v="2"/>
    <x v="89"/>
    <n v="118"/>
    <x v="1"/>
    <x v="0"/>
    <x v="0"/>
    <s v="No"/>
    <s v="Y"/>
    <n v="3"/>
    <n v="-2"/>
    <n v="0"/>
    <x v="21"/>
    <x v="0"/>
    <x v="0"/>
    <n v="1"/>
    <n v="0"/>
    <n v="669"/>
    <n v="9"/>
    <x v="0"/>
    <x v="0"/>
    <n v="3"/>
    <n v="64"/>
    <n v="2"/>
    <n v="3"/>
    <n v="4"/>
    <x v="86"/>
    <n v="13596"/>
    <n v="1"/>
    <n v="16"/>
    <n v="3"/>
    <n v="4"/>
    <n v="80"/>
    <n v="0"/>
    <n v="9"/>
    <n v="3"/>
    <n v="9"/>
    <n v="8"/>
    <n v="4"/>
    <n v="7"/>
  </r>
  <r>
    <x v="1"/>
    <s v="Travel_Frequently"/>
    <x v="0"/>
    <s v="Current Employees"/>
    <x v="1"/>
    <x v="0"/>
    <x v="90"/>
    <n v="119"/>
    <x v="1"/>
    <x v="4"/>
    <x v="1"/>
    <s v="No"/>
    <s v="Y"/>
    <n v="3"/>
    <n v="-2"/>
    <n v="0"/>
    <x v="32"/>
    <x v="1"/>
    <x v="1"/>
    <n v="0"/>
    <n v="1"/>
    <n v="530"/>
    <n v="1"/>
    <x v="2"/>
    <x v="0"/>
    <n v="3"/>
    <n v="78"/>
    <n v="2"/>
    <n v="4"/>
    <n v="2"/>
    <x v="87"/>
    <n v="14115"/>
    <n v="1"/>
    <n v="22"/>
    <n v="4"/>
    <n v="4"/>
    <n v="80"/>
    <n v="1"/>
    <n v="22"/>
    <n v="2"/>
    <n v="22"/>
    <n v="3"/>
    <n v="11"/>
    <n v="11"/>
  </r>
  <r>
    <x v="1"/>
    <s v="Travel_Rarely"/>
    <x v="1"/>
    <s v="Current Employees"/>
    <x v="0"/>
    <x v="3"/>
    <x v="91"/>
    <n v="120"/>
    <x v="1"/>
    <x v="0"/>
    <x v="0"/>
    <s v="Yes"/>
    <s v="Y"/>
    <n v="2"/>
    <n v="-2"/>
    <n v="0"/>
    <x v="31"/>
    <x v="1"/>
    <x v="1"/>
    <n v="0"/>
    <n v="1"/>
    <n v="632"/>
    <n v="21"/>
    <x v="2"/>
    <x v="0"/>
    <n v="3"/>
    <n v="71"/>
    <n v="3"/>
    <n v="2"/>
    <n v="4"/>
    <x v="88"/>
    <n v="8423"/>
    <n v="0"/>
    <n v="22"/>
    <n v="4"/>
    <n v="4"/>
    <n v="80"/>
    <n v="0"/>
    <n v="11"/>
    <n v="1"/>
    <n v="10"/>
    <n v="7"/>
    <n v="1"/>
    <n v="0"/>
  </r>
  <r>
    <x v="1"/>
    <s v="Travel_Rarely"/>
    <x v="2"/>
    <s v="Current Employees"/>
    <x v="0"/>
    <x v="2"/>
    <x v="92"/>
    <n v="121"/>
    <x v="0"/>
    <x v="0"/>
    <x v="2"/>
    <s v="Yes"/>
    <s v="Y"/>
    <n v="4"/>
    <n v="-2"/>
    <n v="0"/>
    <x v="7"/>
    <x v="1"/>
    <x v="1"/>
    <n v="0"/>
    <n v="1"/>
    <n v="1334"/>
    <n v="4"/>
    <x v="0"/>
    <x v="0"/>
    <n v="3"/>
    <n v="63"/>
    <n v="2"/>
    <n v="2"/>
    <n v="3"/>
    <x v="89"/>
    <n v="19760"/>
    <n v="1"/>
    <n v="12"/>
    <n v="3"/>
    <n v="2"/>
    <n v="80"/>
    <n v="3"/>
    <n v="11"/>
    <n v="2"/>
    <n v="11"/>
    <n v="8"/>
    <n v="2"/>
    <n v="7"/>
  </r>
  <r>
    <x v="1"/>
    <s v="Travel_Frequently"/>
    <x v="1"/>
    <s v="Current Employees"/>
    <x v="1"/>
    <x v="2"/>
    <x v="93"/>
    <n v="124"/>
    <x v="1"/>
    <x v="4"/>
    <x v="1"/>
    <s v="Yes"/>
    <s v="Y"/>
    <n v="5"/>
    <n v="-2"/>
    <n v="0"/>
    <x v="21"/>
    <x v="1"/>
    <x v="1"/>
    <n v="0"/>
    <n v="1"/>
    <n v="638"/>
    <n v="1"/>
    <x v="3"/>
    <x v="0"/>
    <n v="3"/>
    <n v="40"/>
    <n v="2"/>
    <n v="3"/>
    <n v="4"/>
    <x v="90"/>
    <n v="3142"/>
    <n v="2"/>
    <n v="13"/>
    <n v="3"/>
    <n v="3"/>
    <n v="80"/>
    <n v="1"/>
    <n v="21"/>
    <n v="2"/>
    <n v="10"/>
    <n v="9"/>
    <n v="9"/>
    <n v="5"/>
  </r>
  <r>
    <x v="1"/>
    <s v="Travel_Rarely"/>
    <x v="2"/>
    <s v="Current Employees"/>
    <x v="0"/>
    <x v="2"/>
    <x v="94"/>
    <n v="125"/>
    <x v="1"/>
    <x v="0"/>
    <x v="0"/>
    <s v="No"/>
    <s v="Y"/>
    <n v="0"/>
    <n v="-2"/>
    <n v="0"/>
    <x v="5"/>
    <x v="1"/>
    <x v="1"/>
    <n v="0"/>
    <n v="1"/>
    <n v="1093"/>
    <n v="6"/>
    <x v="2"/>
    <x v="0"/>
    <n v="2"/>
    <n v="87"/>
    <n v="3"/>
    <n v="2"/>
    <n v="3"/>
    <x v="91"/>
    <n v="24301"/>
    <n v="1"/>
    <n v="16"/>
    <n v="3"/>
    <n v="1"/>
    <n v="80"/>
    <n v="0"/>
    <n v="12"/>
    <n v="3"/>
    <n v="11"/>
    <n v="8"/>
    <n v="5"/>
    <n v="7"/>
  </r>
  <r>
    <x v="1"/>
    <s v="Travel_Rarely"/>
    <x v="1"/>
    <s v="Current Employees"/>
    <x v="1"/>
    <x v="4"/>
    <x v="95"/>
    <n v="126"/>
    <x v="0"/>
    <x v="7"/>
    <x v="1"/>
    <s v="No"/>
    <s v="Y"/>
    <n v="5"/>
    <n v="-2"/>
    <n v="0"/>
    <x v="33"/>
    <x v="1"/>
    <x v="1"/>
    <n v="0"/>
    <n v="1"/>
    <n v="1217"/>
    <n v="2"/>
    <x v="2"/>
    <x v="0"/>
    <n v="1"/>
    <n v="60"/>
    <n v="3"/>
    <n v="3"/>
    <n v="3"/>
    <x v="92"/>
    <n v="24001"/>
    <n v="9"/>
    <n v="12"/>
    <n v="3"/>
    <n v="1"/>
    <n v="80"/>
    <n v="1"/>
    <n v="16"/>
    <n v="1"/>
    <n v="4"/>
    <n v="3"/>
    <n v="0"/>
    <n v="3"/>
  </r>
  <r>
    <x v="1"/>
    <s v="Travel_Rarely"/>
    <x v="4"/>
    <s v="Current Employees"/>
    <x v="0"/>
    <x v="1"/>
    <x v="96"/>
    <n v="128"/>
    <x v="0"/>
    <x v="0"/>
    <x v="1"/>
    <s v="No"/>
    <s v="Y"/>
    <n v="2"/>
    <n v="-2"/>
    <n v="0"/>
    <x v="17"/>
    <x v="1"/>
    <x v="1"/>
    <n v="0"/>
    <n v="1"/>
    <n v="1353"/>
    <n v="3"/>
    <x v="0"/>
    <x v="0"/>
    <n v="1"/>
    <n v="33"/>
    <n v="3"/>
    <n v="2"/>
    <n v="3"/>
    <x v="93"/>
    <n v="17519"/>
    <n v="0"/>
    <n v="21"/>
    <n v="4"/>
    <n v="1"/>
    <n v="80"/>
    <n v="1"/>
    <n v="4"/>
    <n v="2"/>
    <n v="3"/>
    <n v="2"/>
    <n v="0"/>
    <n v="2"/>
  </r>
  <r>
    <x v="1"/>
    <s v="Non-Travel"/>
    <x v="2"/>
    <s v="Current Employees"/>
    <x v="0"/>
    <x v="2"/>
    <x v="97"/>
    <n v="129"/>
    <x v="1"/>
    <x v="0"/>
    <x v="1"/>
    <s v="No"/>
    <s v="Y"/>
    <n v="3"/>
    <n v="-2"/>
    <n v="0"/>
    <x v="14"/>
    <x v="1"/>
    <x v="1"/>
    <n v="0"/>
    <n v="1"/>
    <n v="120"/>
    <n v="4"/>
    <x v="3"/>
    <x v="0"/>
    <n v="2"/>
    <n v="43"/>
    <n v="3"/>
    <n v="2"/>
    <n v="3"/>
    <x v="94"/>
    <n v="8863"/>
    <n v="1"/>
    <n v="15"/>
    <n v="3"/>
    <n v="2"/>
    <n v="80"/>
    <n v="0"/>
    <n v="5"/>
    <n v="4"/>
    <n v="5"/>
    <n v="4"/>
    <n v="0"/>
    <n v="4"/>
  </r>
  <r>
    <x v="1"/>
    <s v="Travel_Rarely"/>
    <x v="3"/>
    <s v="Current Employees"/>
    <x v="0"/>
    <x v="2"/>
    <x v="98"/>
    <n v="131"/>
    <x v="1"/>
    <x v="0"/>
    <x v="0"/>
    <s v="No"/>
    <s v="Y"/>
    <n v="1"/>
    <n v="-2"/>
    <n v="0"/>
    <x v="34"/>
    <x v="1"/>
    <x v="1"/>
    <n v="0"/>
    <n v="1"/>
    <n v="682"/>
    <n v="10"/>
    <x v="2"/>
    <x v="0"/>
    <n v="4"/>
    <n v="37"/>
    <n v="3"/>
    <n v="4"/>
    <n v="3"/>
    <x v="95"/>
    <n v="24409"/>
    <n v="0"/>
    <n v="13"/>
    <n v="3"/>
    <n v="3"/>
    <n v="80"/>
    <n v="0"/>
    <n v="38"/>
    <n v="2"/>
    <n v="37"/>
    <n v="10"/>
    <n v="1"/>
    <n v="8"/>
  </r>
  <r>
    <x v="1"/>
    <s v="Non-Travel"/>
    <x v="0"/>
    <s v="Current Employees"/>
    <x v="1"/>
    <x v="2"/>
    <x v="99"/>
    <n v="132"/>
    <x v="1"/>
    <x v="2"/>
    <x v="1"/>
    <s v="No"/>
    <s v="Y"/>
    <n v="3"/>
    <n v="-2"/>
    <n v="0"/>
    <x v="20"/>
    <x v="1"/>
    <x v="1"/>
    <n v="0"/>
    <n v="1"/>
    <n v="489"/>
    <n v="23"/>
    <x v="3"/>
    <x v="0"/>
    <n v="2"/>
    <n v="67"/>
    <n v="3"/>
    <n v="2"/>
    <n v="3"/>
    <x v="96"/>
    <n v="25043"/>
    <n v="4"/>
    <n v="12"/>
    <n v="3"/>
    <n v="3"/>
    <n v="80"/>
    <n v="1"/>
    <n v="17"/>
    <n v="4"/>
    <n v="3"/>
    <n v="2"/>
    <n v="1"/>
    <n v="2"/>
  </r>
  <r>
    <x v="0"/>
    <s v="Travel_Rarely"/>
    <x v="0"/>
    <s v="Ex-Employees"/>
    <x v="2"/>
    <x v="5"/>
    <x v="100"/>
    <n v="133"/>
    <x v="1"/>
    <x v="8"/>
    <x v="2"/>
    <s v="Yes"/>
    <s v="Y"/>
    <n v="3"/>
    <n v="-2"/>
    <n v="0"/>
    <x v="2"/>
    <x v="0"/>
    <x v="0"/>
    <n v="1"/>
    <n v="0"/>
    <n v="807"/>
    <n v="6"/>
    <x v="2"/>
    <x v="0"/>
    <n v="3"/>
    <n v="63"/>
    <n v="3"/>
    <n v="1"/>
    <n v="4"/>
    <x v="97"/>
    <n v="23648"/>
    <n v="4"/>
    <n v="22"/>
    <n v="4"/>
    <n v="4"/>
    <n v="80"/>
    <n v="0"/>
    <n v="7"/>
    <n v="3"/>
    <n v="3"/>
    <n v="2"/>
    <n v="0"/>
    <n v="2"/>
  </r>
  <r>
    <x v="1"/>
    <s v="Travel_Rarely"/>
    <x v="2"/>
    <s v="Current Employees"/>
    <x v="1"/>
    <x v="0"/>
    <x v="101"/>
    <n v="134"/>
    <x v="1"/>
    <x v="1"/>
    <x v="0"/>
    <s v="No"/>
    <s v="Y"/>
    <n v="2"/>
    <n v="-2"/>
    <n v="0"/>
    <x v="5"/>
    <x v="1"/>
    <x v="1"/>
    <n v="0"/>
    <n v="1"/>
    <n v="827"/>
    <n v="1"/>
    <x v="1"/>
    <x v="0"/>
    <n v="4"/>
    <n v="71"/>
    <n v="3"/>
    <n v="1"/>
    <n v="2"/>
    <x v="98"/>
    <n v="15178"/>
    <n v="1"/>
    <n v="13"/>
    <n v="3"/>
    <n v="4"/>
    <n v="80"/>
    <n v="0"/>
    <n v="1"/>
    <n v="3"/>
    <n v="1"/>
    <n v="0"/>
    <n v="0"/>
    <n v="0"/>
  </r>
  <r>
    <x v="0"/>
    <s v="Travel_Frequently"/>
    <x v="4"/>
    <s v="Ex-Employees"/>
    <x v="1"/>
    <x v="0"/>
    <x v="102"/>
    <n v="137"/>
    <x v="0"/>
    <x v="2"/>
    <x v="0"/>
    <s v="Yes"/>
    <s v="Y"/>
    <n v="5"/>
    <n v="-2"/>
    <n v="0"/>
    <x v="35"/>
    <x v="0"/>
    <x v="0"/>
    <n v="1"/>
    <n v="0"/>
    <n v="871"/>
    <n v="6"/>
    <x v="3"/>
    <x v="0"/>
    <n v="4"/>
    <n v="66"/>
    <n v="2"/>
    <n v="1"/>
    <n v="2"/>
    <x v="99"/>
    <n v="19783"/>
    <n v="1"/>
    <n v="18"/>
    <n v="3"/>
    <n v="2"/>
    <n v="80"/>
    <n v="0"/>
    <n v="1"/>
    <n v="3"/>
    <n v="1"/>
    <n v="0"/>
    <n v="1"/>
    <n v="0"/>
  </r>
  <r>
    <x v="1"/>
    <s v="Travel_Rarely"/>
    <x v="2"/>
    <s v="Current Employees"/>
    <x v="1"/>
    <x v="1"/>
    <x v="103"/>
    <n v="138"/>
    <x v="0"/>
    <x v="1"/>
    <x v="0"/>
    <s v="No"/>
    <s v="Y"/>
    <n v="3"/>
    <n v="-2"/>
    <n v="0"/>
    <x v="13"/>
    <x v="1"/>
    <x v="1"/>
    <n v="0"/>
    <n v="1"/>
    <n v="665"/>
    <n v="6"/>
    <x v="2"/>
    <x v="0"/>
    <n v="1"/>
    <n v="41"/>
    <n v="3"/>
    <n v="2"/>
    <n v="3"/>
    <x v="100"/>
    <n v="12482"/>
    <n v="1"/>
    <n v="14"/>
    <n v="3"/>
    <n v="3"/>
    <n v="80"/>
    <n v="0"/>
    <n v="16"/>
    <n v="3"/>
    <n v="16"/>
    <n v="13"/>
    <n v="2"/>
    <n v="10"/>
  </r>
  <r>
    <x v="1"/>
    <s v="Non-Travel"/>
    <x v="0"/>
    <s v="Current Employees"/>
    <x v="1"/>
    <x v="0"/>
    <x v="104"/>
    <n v="139"/>
    <x v="1"/>
    <x v="4"/>
    <x v="2"/>
    <s v="No"/>
    <s v="Y"/>
    <n v="2"/>
    <n v="-2"/>
    <n v="0"/>
    <x v="2"/>
    <x v="1"/>
    <x v="1"/>
    <n v="0"/>
    <n v="1"/>
    <n v="1040"/>
    <n v="2"/>
    <x v="0"/>
    <x v="0"/>
    <n v="3"/>
    <n v="100"/>
    <n v="2"/>
    <n v="2"/>
    <n v="2"/>
    <x v="101"/>
    <n v="15850"/>
    <n v="5"/>
    <n v="14"/>
    <n v="3"/>
    <n v="4"/>
    <n v="80"/>
    <n v="1"/>
    <n v="17"/>
    <n v="4"/>
    <n v="1"/>
    <n v="0"/>
    <n v="0"/>
    <n v="0"/>
  </r>
  <r>
    <x v="1"/>
    <s v="Non-Travel"/>
    <x v="3"/>
    <s v="Current Employees"/>
    <x v="2"/>
    <x v="5"/>
    <x v="105"/>
    <n v="140"/>
    <x v="0"/>
    <x v="5"/>
    <x v="1"/>
    <s v="No"/>
    <s v="Y"/>
    <n v="3"/>
    <n v="-2"/>
    <n v="0"/>
    <x v="6"/>
    <x v="1"/>
    <x v="1"/>
    <n v="0"/>
    <n v="1"/>
    <n v="1420"/>
    <n v="2"/>
    <x v="2"/>
    <x v="0"/>
    <n v="3"/>
    <n v="32"/>
    <n v="2"/>
    <n v="5"/>
    <n v="4"/>
    <x v="102"/>
    <n v="21922"/>
    <n v="9"/>
    <n v="21"/>
    <n v="4"/>
    <n v="4"/>
    <n v="80"/>
    <n v="1"/>
    <n v="30"/>
    <n v="3"/>
    <n v="3"/>
    <n v="2"/>
    <n v="2"/>
    <n v="2"/>
  </r>
  <r>
    <x v="1"/>
    <s v="Travel_Frequently"/>
    <x v="1"/>
    <s v="Current Employees"/>
    <x v="1"/>
    <x v="0"/>
    <x v="106"/>
    <n v="141"/>
    <x v="0"/>
    <x v="7"/>
    <x v="1"/>
    <s v="Yes"/>
    <s v="Y"/>
    <n v="1"/>
    <n v="-2"/>
    <n v="0"/>
    <x v="24"/>
    <x v="1"/>
    <x v="1"/>
    <n v="0"/>
    <n v="1"/>
    <n v="1115"/>
    <n v="1"/>
    <x v="3"/>
    <x v="0"/>
    <n v="1"/>
    <n v="73"/>
    <n v="3"/>
    <n v="5"/>
    <n v="2"/>
    <x v="103"/>
    <n v="9755"/>
    <n v="3"/>
    <n v="19"/>
    <n v="3"/>
    <n v="1"/>
    <n v="80"/>
    <n v="0"/>
    <n v="28"/>
    <n v="2"/>
    <n v="8"/>
    <n v="3"/>
    <n v="0"/>
    <n v="7"/>
  </r>
  <r>
    <x v="0"/>
    <s v="Travel_Rarely"/>
    <x v="2"/>
    <s v="Ex-Employees"/>
    <x v="0"/>
    <x v="3"/>
    <x v="107"/>
    <n v="142"/>
    <x v="1"/>
    <x v="0"/>
    <x v="0"/>
    <s v="Yes"/>
    <s v="Y"/>
    <n v="1"/>
    <n v="-2"/>
    <n v="0"/>
    <x v="36"/>
    <x v="0"/>
    <x v="0"/>
    <n v="1"/>
    <n v="0"/>
    <n v="240"/>
    <n v="5"/>
    <x v="3"/>
    <x v="0"/>
    <n v="3"/>
    <n v="46"/>
    <n v="2"/>
    <n v="2"/>
    <n v="3"/>
    <x v="104"/>
    <n v="26959"/>
    <n v="1"/>
    <n v="11"/>
    <n v="3"/>
    <n v="4"/>
    <n v="80"/>
    <n v="0"/>
    <n v="6"/>
    <n v="3"/>
    <n v="6"/>
    <n v="4"/>
    <n v="0"/>
    <n v="3"/>
  </r>
  <r>
    <x v="1"/>
    <s v="Travel_Rarely"/>
    <x v="2"/>
    <s v="Current Employees"/>
    <x v="1"/>
    <x v="2"/>
    <x v="108"/>
    <n v="143"/>
    <x v="1"/>
    <x v="1"/>
    <x v="1"/>
    <s v="No"/>
    <s v="Y"/>
    <n v="2"/>
    <n v="-2"/>
    <n v="0"/>
    <x v="36"/>
    <x v="1"/>
    <x v="1"/>
    <n v="0"/>
    <n v="1"/>
    <n v="1280"/>
    <n v="7"/>
    <x v="1"/>
    <x v="0"/>
    <n v="4"/>
    <n v="64"/>
    <n v="2"/>
    <n v="1"/>
    <n v="4"/>
    <x v="105"/>
    <n v="26897"/>
    <n v="1"/>
    <n v="11"/>
    <n v="3"/>
    <n v="3"/>
    <n v="80"/>
    <n v="2"/>
    <n v="2"/>
    <n v="3"/>
    <n v="2"/>
    <n v="2"/>
    <n v="2"/>
    <n v="1"/>
  </r>
  <r>
    <x v="1"/>
    <s v="Travel_Rarely"/>
    <x v="4"/>
    <s v="Current Employees"/>
    <x v="1"/>
    <x v="2"/>
    <x v="109"/>
    <n v="144"/>
    <x v="0"/>
    <x v="2"/>
    <x v="0"/>
    <s v="No"/>
    <s v="Y"/>
    <n v="5"/>
    <n v="-2"/>
    <n v="0"/>
    <x v="15"/>
    <x v="1"/>
    <x v="1"/>
    <n v="0"/>
    <n v="1"/>
    <n v="534"/>
    <n v="15"/>
    <x v="3"/>
    <x v="0"/>
    <n v="2"/>
    <n v="59"/>
    <n v="3"/>
    <n v="1"/>
    <n v="4"/>
    <x v="106"/>
    <n v="23785"/>
    <n v="1"/>
    <n v="15"/>
    <n v="3"/>
    <n v="3"/>
    <n v="80"/>
    <n v="0"/>
    <n v="1"/>
    <n v="3"/>
    <n v="0"/>
    <n v="0"/>
    <n v="0"/>
    <n v="0"/>
  </r>
  <r>
    <x v="1"/>
    <s v="Travel_Frequently"/>
    <x v="1"/>
    <s v="Current Employees"/>
    <x v="1"/>
    <x v="2"/>
    <x v="110"/>
    <n v="145"/>
    <x v="0"/>
    <x v="4"/>
    <x v="0"/>
    <s v="No"/>
    <s v="Y"/>
    <n v="1"/>
    <n v="-2"/>
    <n v="0"/>
    <x v="31"/>
    <x v="1"/>
    <x v="1"/>
    <n v="0"/>
    <n v="1"/>
    <n v="1456"/>
    <n v="1"/>
    <x v="2"/>
    <x v="0"/>
    <n v="1"/>
    <n v="30"/>
    <n v="2"/>
    <n v="3"/>
    <n v="4"/>
    <x v="107"/>
    <n v="25796"/>
    <n v="3"/>
    <n v="20"/>
    <n v="4"/>
    <n v="3"/>
    <n v="80"/>
    <n v="0"/>
    <n v="23"/>
    <n v="2"/>
    <n v="13"/>
    <n v="12"/>
    <n v="12"/>
    <n v="8"/>
  </r>
  <r>
    <x v="0"/>
    <s v="Travel_Frequently"/>
    <x v="2"/>
    <s v="Ex-Employees"/>
    <x v="1"/>
    <x v="0"/>
    <x v="111"/>
    <n v="147"/>
    <x v="1"/>
    <x v="2"/>
    <x v="0"/>
    <s v="Yes"/>
    <s v="Y"/>
    <n v="3"/>
    <n v="-2"/>
    <n v="0"/>
    <x v="13"/>
    <x v="0"/>
    <x v="0"/>
    <n v="1"/>
    <n v="0"/>
    <n v="658"/>
    <n v="7"/>
    <x v="3"/>
    <x v="0"/>
    <n v="1"/>
    <n v="66"/>
    <n v="1"/>
    <n v="2"/>
    <n v="2"/>
    <x v="108"/>
    <n v="22887"/>
    <n v="1"/>
    <n v="24"/>
    <n v="4"/>
    <n v="4"/>
    <n v="80"/>
    <n v="0"/>
    <n v="9"/>
    <n v="3"/>
    <n v="9"/>
    <n v="7"/>
    <n v="0"/>
    <n v="6"/>
  </r>
  <r>
    <x v="1"/>
    <s v="Non-Travel"/>
    <x v="1"/>
    <s v="Current Employees"/>
    <x v="2"/>
    <x v="5"/>
    <x v="112"/>
    <n v="148"/>
    <x v="0"/>
    <x v="5"/>
    <x v="0"/>
    <s v="Yes"/>
    <s v="Y"/>
    <n v="3"/>
    <n v="-2"/>
    <n v="0"/>
    <x v="33"/>
    <x v="1"/>
    <x v="1"/>
    <n v="0"/>
    <n v="1"/>
    <n v="142"/>
    <n v="26"/>
    <x v="3"/>
    <x v="0"/>
    <n v="4"/>
    <n v="30"/>
    <n v="4"/>
    <n v="4"/>
    <n v="4"/>
    <x v="109"/>
    <n v="13871"/>
    <n v="2"/>
    <n v="12"/>
    <n v="3"/>
    <n v="3"/>
    <n v="80"/>
    <n v="0"/>
    <n v="23"/>
    <n v="3"/>
    <n v="5"/>
    <n v="3"/>
    <n v="4"/>
    <n v="4"/>
  </r>
  <r>
    <x v="1"/>
    <s v="Travel_Rarely"/>
    <x v="4"/>
    <s v="Current Employees"/>
    <x v="1"/>
    <x v="0"/>
    <x v="113"/>
    <n v="150"/>
    <x v="1"/>
    <x v="2"/>
    <x v="1"/>
    <s v="No"/>
    <s v="Y"/>
    <n v="2"/>
    <n v="-2"/>
    <n v="0"/>
    <x v="17"/>
    <x v="1"/>
    <x v="1"/>
    <n v="0"/>
    <n v="1"/>
    <n v="1127"/>
    <n v="18"/>
    <x v="1"/>
    <x v="0"/>
    <n v="2"/>
    <n v="52"/>
    <n v="3"/>
    <n v="1"/>
    <n v="2"/>
    <x v="110"/>
    <n v="13257"/>
    <n v="0"/>
    <n v="12"/>
    <n v="3"/>
    <n v="3"/>
    <n v="80"/>
    <n v="1"/>
    <n v="6"/>
    <n v="3"/>
    <n v="5"/>
    <n v="3"/>
    <n v="1"/>
    <n v="2"/>
  </r>
  <r>
    <x v="1"/>
    <s v="Travel_Rarely"/>
    <x v="2"/>
    <s v="Current Employees"/>
    <x v="1"/>
    <x v="0"/>
    <x v="114"/>
    <n v="151"/>
    <x v="0"/>
    <x v="1"/>
    <x v="2"/>
    <s v="No"/>
    <s v="Y"/>
    <n v="3"/>
    <n v="-2"/>
    <n v="0"/>
    <x v="13"/>
    <x v="1"/>
    <x v="1"/>
    <n v="0"/>
    <n v="1"/>
    <n v="1031"/>
    <n v="6"/>
    <x v="2"/>
    <x v="0"/>
    <n v="3"/>
    <n v="45"/>
    <n v="2"/>
    <n v="2"/>
    <n v="2"/>
    <x v="111"/>
    <n v="15000"/>
    <n v="6"/>
    <n v="15"/>
    <n v="3"/>
    <n v="3"/>
    <n v="80"/>
    <n v="1"/>
    <n v="12"/>
    <n v="3"/>
    <n v="1"/>
    <n v="0"/>
    <n v="0"/>
    <n v="0"/>
  </r>
  <r>
    <x v="1"/>
    <s v="Travel_Rarely"/>
    <x v="0"/>
    <s v="Current Employees"/>
    <x v="0"/>
    <x v="0"/>
    <x v="115"/>
    <n v="152"/>
    <x v="1"/>
    <x v="0"/>
    <x v="0"/>
    <s v="No"/>
    <s v="Y"/>
    <n v="3"/>
    <n v="-2"/>
    <n v="0"/>
    <x v="2"/>
    <x v="1"/>
    <x v="1"/>
    <n v="0"/>
    <n v="1"/>
    <n v="1189"/>
    <n v="3"/>
    <x v="3"/>
    <x v="0"/>
    <n v="3"/>
    <n v="87"/>
    <n v="3"/>
    <n v="3"/>
    <n v="2"/>
    <x v="112"/>
    <n v="14506"/>
    <n v="2"/>
    <n v="12"/>
    <n v="3"/>
    <n v="1"/>
    <n v="80"/>
    <n v="0"/>
    <n v="12"/>
    <n v="3"/>
    <n v="5"/>
    <n v="3"/>
    <n v="1"/>
    <n v="3"/>
  </r>
  <r>
    <x v="1"/>
    <s v="Travel_Rarely"/>
    <x v="2"/>
    <s v="Current Employees"/>
    <x v="1"/>
    <x v="2"/>
    <x v="116"/>
    <n v="153"/>
    <x v="0"/>
    <x v="5"/>
    <x v="0"/>
    <s v="No"/>
    <s v="Y"/>
    <n v="6"/>
    <n v="-2"/>
    <n v="0"/>
    <x v="13"/>
    <x v="1"/>
    <x v="1"/>
    <n v="0"/>
    <n v="1"/>
    <n v="1354"/>
    <n v="5"/>
    <x v="3"/>
    <x v="0"/>
    <n v="3"/>
    <n v="45"/>
    <n v="2"/>
    <n v="3"/>
    <n v="4"/>
    <x v="113"/>
    <n v="5615"/>
    <n v="2"/>
    <n v="12"/>
    <n v="3"/>
    <n v="4"/>
    <n v="80"/>
    <n v="0"/>
    <n v="14"/>
    <n v="3"/>
    <n v="11"/>
    <n v="10"/>
    <n v="5"/>
    <n v="8"/>
  </r>
  <r>
    <x v="1"/>
    <s v="Travel_Frequently"/>
    <x v="0"/>
    <s v="Current Employees"/>
    <x v="0"/>
    <x v="4"/>
    <x v="117"/>
    <n v="154"/>
    <x v="0"/>
    <x v="0"/>
    <x v="1"/>
    <s v="No"/>
    <s v="Y"/>
    <n v="6"/>
    <n v="-2"/>
    <n v="0"/>
    <x v="9"/>
    <x v="1"/>
    <x v="1"/>
    <n v="0"/>
    <n v="1"/>
    <n v="1467"/>
    <n v="11"/>
    <x v="0"/>
    <x v="0"/>
    <n v="2"/>
    <n v="92"/>
    <n v="3"/>
    <n v="3"/>
    <n v="4"/>
    <x v="114"/>
    <n v="22952"/>
    <n v="0"/>
    <n v="14"/>
    <n v="3"/>
    <n v="3"/>
    <n v="80"/>
    <n v="1"/>
    <n v="10"/>
    <n v="3"/>
    <n v="9"/>
    <n v="7"/>
    <n v="2"/>
    <n v="8"/>
  </r>
  <r>
    <x v="1"/>
    <s v="Travel_Rarely"/>
    <x v="0"/>
    <s v="Current Employees"/>
    <x v="1"/>
    <x v="0"/>
    <x v="118"/>
    <n v="155"/>
    <x v="0"/>
    <x v="2"/>
    <x v="2"/>
    <s v="No"/>
    <s v="Y"/>
    <n v="2"/>
    <n v="-2"/>
    <n v="0"/>
    <x v="9"/>
    <x v="1"/>
    <x v="1"/>
    <n v="0"/>
    <n v="1"/>
    <n v="922"/>
    <n v="3"/>
    <x v="0"/>
    <x v="0"/>
    <n v="1"/>
    <n v="39"/>
    <n v="3"/>
    <n v="1"/>
    <n v="2"/>
    <x v="115"/>
    <n v="2561"/>
    <n v="5"/>
    <n v="22"/>
    <n v="4"/>
    <n v="1"/>
    <n v="80"/>
    <n v="1"/>
    <n v="7"/>
    <n v="3"/>
    <n v="1"/>
    <n v="0"/>
    <n v="0"/>
    <n v="0"/>
  </r>
  <r>
    <x v="1"/>
    <s v="Travel_Frequently"/>
    <x v="0"/>
    <s v="Current Employees"/>
    <x v="0"/>
    <x v="0"/>
    <x v="119"/>
    <n v="158"/>
    <x v="1"/>
    <x v="5"/>
    <x v="1"/>
    <s v="Yes"/>
    <s v="Y"/>
    <n v="3"/>
    <n v="-2"/>
    <n v="0"/>
    <x v="23"/>
    <x v="1"/>
    <x v="1"/>
    <n v="0"/>
    <n v="1"/>
    <n v="394"/>
    <n v="26"/>
    <x v="0"/>
    <x v="0"/>
    <n v="3"/>
    <n v="92"/>
    <n v="3"/>
    <n v="4"/>
    <n v="2"/>
    <x v="116"/>
    <n v="19494"/>
    <n v="1"/>
    <n v="12"/>
    <n v="3"/>
    <n v="4"/>
    <n v="80"/>
    <n v="2"/>
    <n v="25"/>
    <n v="4"/>
    <n v="25"/>
    <n v="12"/>
    <n v="4"/>
    <n v="12"/>
  </r>
  <r>
    <x v="1"/>
    <s v="Travel_Frequently"/>
    <x v="2"/>
    <s v="Current Employees"/>
    <x v="1"/>
    <x v="0"/>
    <x v="120"/>
    <n v="159"/>
    <x v="1"/>
    <x v="1"/>
    <x v="2"/>
    <s v="No"/>
    <s v="Y"/>
    <n v="2"/>
    <n v="-2"/>
    <n v="0"/>
    <x v="7"/>
    <x v="1"/>
    <x v="1"/>
    <n v="0"/>
    <n v="1"/>
    <n v="1312"/>
    <n v="23"/>
    <x v="3"/>
    <x v="0"/>
    <n v="1"/>
    <n v="96"/>
    <n v="1"/>
    <n v="1"/>
    <n v="2"/>
    <x v="117"/>
    <n v="22310"/>
    <n v="1"/>
    <n v="25"/>
    <n v="4"/>
    <n v="3"/>
    <n v="80"/>
    <n v="3"/>
    <n v="10"/>
    <n v="2"/>
    <n v="10"/>
    <n v="7"/>
    <n v="0"/>
    <n v="9"/>
  </r>
  <r>
    <x v="1"/>
    <s v="Non-Travel"/>
    <x v="2"/>
    <s v="Current Employees"/>
    <x v="0"/>
    <x v="3"/>
    <x v="121"/>
    <n v="160"/>
    <x v="1"/>
    <x v="0"/>
    <x v="1"/>
    <s v="No"/>
    <s v="Y"/>
    <n v="2"/>
    <n v="-2"/>
    <n v="0"/>
    <x v="3"/>
    <x v="1"/>
    <x v="1"/>
    <n v="0"/>
    <n v="1"/>
    <n v="750"/>
    <n v="22"/>
    <x v="0"/>
    <x v="0"/>
    <n v="3"/>
    <n v="95"/>
    <n v="3"/>
    <n v="2"/>
    <n v="3"/>
    <x v="118"/>
    <n v="15480"/>
    <n v="0"/>
    <n v="13"/>
    <n v="3"/>
    <n v="1"/>
    <n v="80"/>
    <n v="1"/>
    <n v="8"/>
    <n v="4"/>
    <n v="7"/>
    <n v="7"/>
    <n v="0"/>
    <n v="7"/>
  </r>
  <r>
    <x v="0"/>
    <s v="Travel_Rarely"/>
    <x v="3"/>
    <s v="Ex-Employees"/>
    <x v="1"/>
    <x v="0"/>
    <x v="122"/>
    <n v="161"/>
    <x v="0"/>
    <x v="1"/>
    <x v="1"/>
    <s v="Yes"/>
    <s v="Y"/>
    <n v="2"/>
    <n v="-2"/>
    <n v="0"/>
    <x v="29"/>
    <x v="0"/>
    <x v="0"/>
    <n v="1"/>
    <n v="0"/>
    <n v="441"/>
    <n v="14"/>
    <x v="2"/>
    <x v="0"/>
    <n v="2"/>
    <n v="72"/>
    <n v="3"/>
    <n v="1"/>
    <n v="2"/>
    <x v="119"/>
    <n v="4510"/>
    <n v="9"/>
    <n v="18"/>
    <n v="3"/>
    <n v="1"/>
    <n v="80"/>
    <n v="3"/>
    <n v="7"/>
    <n v="3"/>
    <n v="5"/>
    <n v="4"/>
    <n v="4"/>
    <n v="3"/>
  </r>
  <r>
    <x v="1"/>
    <s v="Travel_Rarely"/>
    <x v="1"/>
    <s v="Current Employees"/>
    <x v="1"/>
    <x v="0"/>
    <x v="123"/>
    <n v="162"/>
    <x v="1"/>
    <x v="7"/>
    <x v="0"/>
    <s v="No"/>
    <s v="Y"/>
    <n v="5"/>
    <n v="-2"/>
    <n v="0"/>
    <x v="31"/>
    <x v="1"/>
    <x v="1"/>
    <n v="0"/>
    <n v="1"/>
    <n v="684"/>
    <n v="6"/>
    <x v="3"/>
    <x v="0"/>
    <n v="1"/>
    <n v="51"/>
    <n v="3"/>
    <n v="5"/>
    <n v="2"/>
    <x v="120"/>
    <n v="6462"/>
    <n v="7"/>
    <n v="13"/>
    <n v="3"/>
    <n v="3"/>
    <n v="80"/>
    <n v="0"/>
    <n v="23"/>
    <n v="3"/>
    <n v="20"/>
    <n v="18"/>
    <n v="15"/>
    <n v="15"/>
  </r>
  <r>
    <x v="0"/>
    <s v="Travel_Rarely"/>
    <x v="2"/>
    <s v="Ex-Employees"/>
    <x v="0"/>
    <x v="0"/>
    <x v="124"/>
    <n v="163"/>
    <x v="1"/>
    <x v="0"/>
    <x v="1"/>
    <s v="Yes"/>
    <s v="Y"/>
    <n v="3"/>
    <n v="-2"/>
    <n v="0"/>
    <x v="12"/>
    <x v="0"/>
    <x v="0"/>
    <n v="1"/>
    <n v="0"/>
    <n v="249"/>
    <n v="6"/>
    <x v="2"/>
    <x v="0"/>
    <n v="2"/>
    <n v="76"/>
    <n v="1"/>
    <n v="2"/>
    <n v="2"/>
    <x v="121"/>
    <n v="20739"/>
    <n v="4"/>
    <n v="18"/>
    <n v="3"/>
    <n v="2"/>
    <n v="80"/>
    <n v="0"/>
    <n v="12"/>
    <n v="2"/>
    <n v="7"/>
    <n v="7"/>
    <n v="7"/>
    <n v="7"/>
  </r>
  <r>
    <x v="1"/>
    <s v="Travel_Rarely"/>
    <x v="2"/>
    <s v="Current Employees"/>
    <x v="1"/>
    <x v="1"/>
    <x v="125"/>
    <n v="164"/>
    <x v="0"/>
    <x v="1"/>
    <x v="1"/>
    <s v="No"/>
    <s v="Y"/>
    <n v="3"/>
    <n v="-2"/>
    <n v="0"/>
    <x v="25"/>
    <x v="1"/>
    <x v="1"/>
    <n v="0"/>
    <n v="1"/>
    <n v="841"/>
    <n v="6"/>
    <x v="3"/>
    <x v="0"/>
    <n v="3"/>
    <n v="46"/>
    <n v="2"/>
    <n v="1"/>
    <n v="3"/>
    <x v="122"/>
    <n v="23300"/>
    <n v="1"/>
    <n v="19"/>
    <n v="3"/>
    <n v="3"/>
    <n v="80"/>
    <n v="0"/>
    <n v="5"/>
    <n v="2"/>
    <n v="5"/>
    <n v="4"/>
    <n v="4"/>
    <n v="3"/>
  </r>
  <r>
    <x v="0"/>
    <s v="Travel_Rarely"/>
    <x v="3"/>
    <s v="Ex-Employees"/>
    <x v="1"/>
    <x v="2"/>
    <x v="126"/>
    <n v="165"/>
    <x v="0"/>
    <x v="4"/>
    <x v="1"/>
    <s v="No"/>
    <s v="Y"/>
    <n v="3"/>
    <n v="-2"/>
    <n v="0"/>
    <x v="34"/>
    <x v="0"/>
    <x v="0"/>
    <n v="1"/>
    <n v="0"/>
    <n v="147"/>
    <n v="23"/>
    <x v="2"/>
    <x v="0"/>
    <n v="4"/>
    <n v="94"/>
    <n v="3"/>
    <n v="3"/>
    <n v="4"/>
    <x v="123"/>
    <n v="3465"/>
    <n v="1"/>
    <n v="12"/>
    <n v="3"/>
    <n v="4"/>
    <n v="80"/>
    <n v="1"/>
    <n v="40"/>
    <n v="2"/>
    <n v="40"/>
    <n v="10"/>
    <n v="15"/>
    <n v="6"/>
  </r>
  <r>
    <x v="0"/>
    <s v="Travel_Rarely"/>
    <x v="4"/>
    <s v="Ex-Employees"/>
    <x v="0"/>
    <x v="3"/>
    <x v="127"/>
    <n v="167"/>
    <x v="1"/>
    <x v="6"/>
    <x v="0"/>
    <s v="Yes"/>
    <s v="Y"/>
    <n v="2"/>
    <n v="-2"/>
    <n v="0"/>
    <x v="37"/>
    <x v="0"/>
    <x v="0"/>
    <n v="1"/>
    <n v="0"/>
    <n v="528"/>
    <n v="22"/>
    <x v="1"/>
    <x v="0"/>
    <n v="4"/>
    <n v="50"/>
    <n v="3"/>
    <n v="1"/>
    <n v="3"/>
    <x v="124"/>
    <n v="26820"/>
    <n v="1"/>
    <n v="19"/>
    <n v="3"/>
    <n v="4"/>
    <n v="80"/>
    <n v="0"/>
    <n v="0"/>
    <n v="2"/>
    <n v="0"/>
    <n v="0"/>
    <n v="0"/>
    <n v="0"/>
  </r>
  <r>
    <x v="1"/>
    <s v="Travel_Rarely"/>
    <x v="4"/>
    <s v="Current Employees"/>
    <x v="1"/>
    <x v="4"/>
    <x v="128"/>
    <n v="169"/>
    <x v="1"/>
    <x v="2"/>
    <x v="1"/>
    <s v="No"/>
    <s v="Y"/>
    <n v="2"/>
    <n v="-2"/>
    <n v="0"/>
    <x v="15"/>
    <x v="1"/>
    <x v="1"/>
    <n v="0"/>
    <n v="1"/>
    <n v="594"/>
    <n v="2"/>
    <x v="1"/>
    <x v="0"/>
    <n v="3"/>
    <n v="100"/>
    <n v="3"/>
    <n v="1"/>
    <n v="4"/>
    <x v="125"/>
    <n v="19299"/>
    <n v="0"/>
    <n v="14"/>
    <n v="3"/>
    <n v="3"/>
    <n v="80"/>
    <n v="1"/>
    <n v="3"/>
    <n v="3"/>
    <n v="2"/>
    <n v="1"/>
    <n v="2"/>
    <n v="1"/>
  </r>
  <r>
    <x v="1"/>
    <s v="Travel_Rarely"/>
    <x v="1"/>
    <s v="Current Employees"/>
    <x v="1"/>
    <x v="2"/>
    <x v="129"/>
    <n v="170"/>
    <x v="0"/>
    <x v="3"/>
    <x v="1"/>
    <s v="No"/>
    <s v="Y"/>
    <n v="2"/>
    <n v="-2"/>
    <n v="0"/>
    <x v="1"/>
    <x v="1"/>
    <x v="1"/>
    <n v="0"/>
    <n v="1"/>
    <n v="470"/>
    <n v="20"/>
    <x v="2"/>
    <x v="0"/>
    <n v="3"/>
    <n v="96"/>
    <n v="3"/>
    <n v="2"/>
    <n v="1"/>
    <x v="126"/>
    <n v="5549"/>
    <n v="1"/>
    <n v="14"/>
    <n v="3"/>
    <n v="3"/>
    <n v="80"/>
    <n v="0"/>
    <n v="16"/>
    <n v="2"/>
    <n v="15"/>
    <n v="11"/>
    <n v="5"/>
    <n v="11"/>
  </r>
  <r>
    <x v="1"/>
    <s v="Travel_Frequently"/>
    <x v="0"/>
    <s v="Current Employees"/>
    <x v="1"/>
    <x v="2"/>
    <x v="130"/>
    <n v="171"/>
    <x v="0"/>
    <x v="1"/>
    <x v="0"/>
    <s v="No"/>
    <s v="Y"/>
    <n v="2"/>
    <n v="-2"/>
    <n v="0"/>
    <x v="23"/>
    <x v="1"/>
    <x v="1"/>
    <n v="0"/>
    <n v="1"/>
    <n v="957"/>
    <n v="28"/>
    <x v="3"/>
    <x v="0"/>
    <n v="2"/>
    <n v="72"/>
    <n v="4"/>
    <n v="1"/>
    <n v="3"/>
    <x v="127"/>
    <n v="16090"/>
    <n v="4"/>
    <n v="12"/>
    <n v="3"/>
    <n v="4"/>
    <n v="80"/>
    <n v="0"/>
    <n v="18"/>
    <n v="3"/>
    <n v="3"/>
    <n v="2"/>
    <n v="1"/>
    <n v="2"/>
  </r>
  <r>
    <x v="1"/>
    <s v="Travel_Frequently"/>
    <x v="1"/>
    <s v="Current Employees"/>
    <x v="0"/>
    <x v="3"/>
    <x v="131"/>
    <n v="174"/>
    <x v="0"/>
    <x v="0"/>
    <x v="0"/>
    <s v="No"/>
    <s v="Y"/>
    <n v="3"/>
    <n v="-2"/>
    <n v="0"/>
    <x v="24"/>
    <x v="1"/>
    <x v="1"/>
    <n v="0"/>
    <n v="1"/>
    <n v="809"/>
    <n v="12"/>
    <x v="3"/>
    <x v="0"/>
    <n v="3"/>
    <n v="77"/>
    <n v="3"/>
    <n v="3"/>
    <n v="4"/>
    <x v="128"/>
    <n v="6645"/>
    <n v="4"/>
    <n v="11"/>
    <n v="3"/>
    <n v="4"/>
    <n v="80"/>
    <n v="0"/>
    <n v="16"/>
    <n v="3"/>
    <n v="2"/>
    <n v="2"/>
    <n v="2"/>
    <n v="1"/>
  </r>
  <r>
    <x v="0"/>
    <s v="Travel_Rarely"/>
    <x v="2"/>
    <s v="Ex-Employees"/>
    <x v="0"/>
    <x v="0"/>
    <x v="132"/>
    <n v="175"/>
    <x v="0"/>
    <x v="0"/>
    <x v="1"/>
    <s v="Yes"/>
    <s v="Y"/>
    <n v="2"/>
    <n v="-2"/>
    <n v="0"/>
    <x v="12"/>
    <x v="0"/>
    <x v="0"/>
    <n v="1"/>
    <n v="0"/>
    <n v="542"/>
    <n v="20"/>
    <x v="3"/>
    <x v="0"/>
    <n v="2"/>
    <n v="71"/>
    <n v="1"/>
    <n v="2"/>
    <n v="2"/>
    <x v="129"/>
    <n v="24788"/>
    <n v="3"/>
    <n v="11"/>
    <n v="3"/>
    <n v="3"/>
    <n v="80"/>
    <n v="1"/>
    <n v="4"/>
    <n v="3"/>
    <n v="2"/>
    <n v="2"/>
    <n v="2"/>
    <n v="2"/>
  </r>
  <r>
    <x v="1"/>
    <s v="Travel_Rarely"/>
    <x v="0"/>
    <s v="Current Employees"/>
    <x v="0"/>
    <x v="0"/>
    <x v="133"/>
    <n v="176"/>
    <x v="1"/>
    <x v="0"/>
    <x v="2"/>
    <s v="Yes"/>
    <s v="Y"/>
    <n v="2"/>
    <n v="-2"/>
    <n v="0"/>
    <x v="0"/>
    <x v="1"/>
    <x v="1"/>
    <n v="0"/>
    <n v="1"/>
    <n v="802"/>
    <n v="9"/>
    <x v="1"/>
    <x v="0"/>
    <n v="3"/>
    <n v="96"/>
    <n v="3"/>
    <n v="3"/>
    <n v="2"/>
    <x v="130"/>
    <n v="21196"/>
    <n v="3"/>
    <n v="13"/>
    <n v="3"/>
    <n v="3"/>
    <n v="80"/>
    <n v="1"/>
    <n v="12"/>
    <n v="3"/>
    <n v="9"/>
    <n v="7"/>
    <n v="0"/>
    <n v="7"/>
  </r>
  <r>
    <x v="1"/>
    <s v="Travel_Rarely"/>
    <x v="2"/>
    <s v="Current Employees"/>
    <x v="2"/>
    <x v="0"/>
    <x v="134"/>
    <n v="177"/>
    <x v="0"/>
    <x v="8"/>
    <x v="1"/>
    <s v="No"/>
    <s v="Y"/>
    <n v="3"/>
    <n v="-2"/>
    <n v="0"/>
    <x v="25"/>
    <x v="1"/>
    <x v="1"/>
    <n v="0"/>
    <n v="1"/>
    <n v="1355"/>
    <n v="25"/>
    <x v="1"/>
    <x v="0"/>
    <n v="3"/>
    <n v="61"/>
    <n v="3"/>
    <n v="1"/>
    <n v="2"/>
    <x v="131"/>
    <n v="8916"/>
    <n v="1"/>
    <n v="23"/>
    <n v="4"/>
    <n v="4"/>
    <n v="80"/>
    <n v="1"/>
    <n v="8"/>
    <n v="3"/>
    <n v="8"/>
    <n v="7"/>
    <n v="5"/>
    <n v="7"/>
  </r>
  <r>
    <x v="1"/>
    <s v="Travel_Rarely"/>
    <x v="0"/>
    <s v="Current Employees"/>
    <x v="1"/>
    <x v="2"/>
    <x v="135"/>
    <n v="178"/>
    <x v="1"/>
    <x v="3"/>
    <x v="2"/>
    <s v="No"/>
    <s v="Y"/>
    <n v="0"/>
    <n v="-2"/>
    <n v="0"/>
    <x v="9"/>
    <x v="1"/>
    <x v="1"/>
    <n v="0"/>
    <n v="1"/>
    <n v="216"/>
    <n v="6"/>
    <x v="0"/>
    <x v="0"/>
    <n v="2"/>
    <n v="84"/>
    <n v="3"/>
    <n v="2"/>
    <n v="3"/>
    <x v="132"/>
    <n v="2819"/>
    <n v="6"/>
    <n v="20"/>
    <n v="4"/>
    <n v="4"/>
    <n v="80"/>
    <n v="2"/>
    <n v="7"/>
    <n v="3"/>
    <n v="3"/>
    <n v="2"/>
    <n v="0"/>
    <n v="1"/>
  </r>
  <r>
    <x v="0"/>
    <s v="Travel_Frequently"/>
    <x v="1"/>
    <s v="Ex-Employees"/>
    <x v="1"/>
    <x v="0"/>
    <x v="136"/>
    <n v="179"/>
    <x v="1"/>
    <x v="3"/>
    <x v="0"/>
    <s v="No"/>
    <s v="Y"/>
    <n v="2"/>
    <n v="-2"/>
    <n v="0"/>
    <x v="31"/>
    <x v="0"/>
    <x v="0"/>
    <n v="1"/>
    <n v="0"/>
    <n v="1150"/>
    <n v="8"/>
    <x v="2"/>
    <x v="0"/>
    <n v="1"/>
    <n v="53"/>
    <n v="1"/>
    <n v="3"/>
    <n v="2"/>
    <x v="133"/>
    <n v="25150"/>
    <n v="2"/>
    <n v="15"/>
    <n v="3"/>
    <n v="4"/>
    <n v="80"/>
    <n v="0"/>
    <n v="18"/>
    <n v="3"/>
    <n v="4"/>
    <n v="2"/>
    <n v="0"/>
    <n v="3"/>
  </r>
  <r>
    <x v="1"/>
    <s v="Travel_Rarely"/>
    <x v="0"/>
    <s v="Current Employees"/>
    <x v="0"/>
    <x v="0"/>
    <x v="137"/>
    <n v="182"/>
    <x v="0"/>
    <x v="0"/>
    <x v="1"/>
    <s v="No"/>
    <s v="Y"/>
    <n v="1"/>
    <n v="-2"/>
    <n v="0"/>
    <x v="22"/>
    <x v="1"/>
    <x v="1"/>
    <n v="0"/>
    <n v="1"/>
    <n v="1329"/>
    <n v="4"/>
    <x v="2"/>
    <x v="0"/>
    <n v="4"/>
    <n v="47"/>
    <n v="2"/>
    <n v="2"/>
    <n v="2"/>
    <x v="134"/>
    <n v="14590"/>
    <n v="4"/>
    <n v="14"/>
    <n v="3"/>
    <n v="3"/>
    <n v="80"/>
    <n v="1"/>
    <n v="17"/>
    <n v="4"/>
    <n v="15"/>
    <n v="11"/>
    <n v="5"/>
    <n v="9"/>
  </r>
  <r>
    <x v="1"/>
    <s v="Travel_Rarely"/>
    <x v="2"/>
    <s v="Current Employees"/>
    <x v="0"/>
    <x v="0"/>
    <x v="138"/>
    <n v="183"/>
    <x v="1"/>
    <x v="0"/>
    <x v="1"/>
    <s v="No"/>
    <s v="Y"/>
    <n v="3"/>
    <n v="-2"/>
    <n v="0"/>
    <x v="36"/>
    <x v="1"/>
    <x v="1"/>
    <n v="0"/>
    <n v="1"/>
    <n v="959"/>
    <n v="28"/>
    <x v="3"/>
    <x v="0"/>
    <n v="1"/>
    <n v="41"/>
    <n v="2"/>
    <n v="2"/>
    <n v="2"/>
    <x v="135"/>
    <n v="24835"/>
    <n v="2"/>
    <n v="18"/>
    <n v="3"/>
    <n v="4"/>
    <n v="80"/>
    <n v="0"/>
    <n v="6"/>
    <n v="3"/>
    <n v="2"/>
    <n v="2"/>
    <n v="2"/>
    <n v="2"/>
  </r>
  <r>
    <x v="1"/>
    <s v="Travel_Rarely"/>
    <x v="2"/>
    <s v="Current Employees"/>
    <x v="2"/>
    <x v="5"/>
    <x v="139"/>
    <n v="184"/>
    <x v="1"/>
    <x v="8"/>
    <x v="1"/>
    <s v="Yes"/>
    <s v="Y"/>
    <n v="2"/>
    <n v="-2"/>
    <n v="0"/>
    <x v="7"/>
    <x v="1"/>
    <x v="1"/>
    <n v="0"/>
    <n v="1"/>
    <n v="1240"/>
    <n v="9"/>
    <x v="3"/>
    <x v="0"/>
    <n v="3"/>
    <n v="48"/>
    <n v="3"/>
    <n v="2"/>
    <n v="4"/>
    <x v="136"/>
    <n v="13982"/>
    <n v="0"/>
    <n v="19"/>
    <n v="3"/>
    <n v="4"/>
    <n v="80"/>
    <n v="0"/>
    <n v="12"/>
    <n v="1"/>
    <n v="11"/>
    <n v="9"/>
    <n v="4"/>
    <n v="7"/>
  </r>
  <r>
    <x v="0"/>
    <s v="Travel_Rarely"/>
    <x v="2"/>
    <s v="Ex-Employees"/>
    <x v="1"/>
    <x v="2"/>
    <x v="140"/>
    <n v="190"/>
    <x v="0"/>
    <x v="2"/>
    <x v="0"/>
    <s v="No"/>
    <s v="Y"/>
    <n v="2"/>
    <n v="-2"/>
    <n v="0"/>
    <x v="5"/>
    <x v="0"/>
    <x v="0"/>
    <n v="1"/>
    <n v="0"/>
    <n v="1033"/>
    <n v="9"/>
    <x v="3"/>
    <x v="0"/>
    <n v="1"/>
    <n v="41"/>
    <n v="3"/>
    <n v="1"/>
    <n v="1"/>
    <x v="137"/>
    <n v="10224"/>
    <n v="7"/>
    <n v="22"/>
    <n v="4"/>
    <n v="1"/>
    <n v="80"/>
    <n v="0"/>
    <n v="10"/>
    <n v="4"/>
    <n v="5"/>
    <n v="4"/>
    <n v="0"/>
    <n v="4"/>
  </r>
  <r>
    <x v="1"/>
    <s v="Travel_Rarely"/>
    <x v="1"/>
    <s v="Current Employees"/>
    <x v="1"/>
    <x v="2"/>
    <x v="141"/>
    <n v="192"/>
    <x v="1"/>
    <x v="1"/>
    <x v="0"/>
    <s v="No"/>
    <s v="Y"/>
    <n v="2"/>
    <n v="-2"/>
    <n v="0"/>
    <x v="28"/>
    <x v="1"/>
    <x v="1"/>
    <n v="0"/>
    <n v="1"/>
    <n v="1316"/>
    <n v="29"/>
    <x v="3"/>
    <x v="0"/>
    <n v="3"/>
    <n v="83"/>
    <n v="3"/>
    <n v="1"/>
    <n v="4"/>
    <x v="138"/>
    <n v="9752"/>
    <n v="5"/>
    <n v="13"/>
    <n v="3"/>
    <n v="2"/>
    <n v="80"/>
    <n v="0"/>
    <n v="9"/>
    <n v="2"/>
    <n v="6"/>
    <n v="5"/>
    <n v="0"/>
    <n v="3"/>
  </r>
  <r>
    <x v="1"/>
    <s v="Travel_Rarely"/>
    <x v="0"/>
    <s v="Current Employees"/>
    <x v="1"/>
    <x v="4"/>
    <x v="142"/>
    <n v="193"/>
    <x v="0"/>
    <x v="1"/>
    <x v="0"/>
    <s v="Yes"/>
    <s v="Y"/>
    <n v="2"/>
    <n v="-2"/>
    <n v="0"/>
    <x v="8"/>
    <x v="1"/>
    <x v="1"/>
    <n v="0"/>
    <n v="1"/>
    <n v="364"/>
    <n v="3"/>
    <x v="4"/>
    <x v="0"/>
    <n v="4"/>
    <n v="32"/>
    <n v="3"/>
    <n v="2"/>
    <n v="3"/>
    <x v="139"/>
    <n v="2302"/>
    <n v="3"/>
    <n v="20"/>
    <n v="4"/>
    <n v="2"/>
    <n v="80"/>
    <n v="0"/>
    <n v="19"/>
    <n v="3"/>
    <n v="3"/>
    <n v="2"/>
    <n v="2"/>
    <n v="2"/>
  </r>
  <r>
    <x v="1"/>
    <s v="Travel_Rarely"/>
    <x v="2"/>
    <s v="Current Employees"/>
    <x v="1"/>
    <x v="0"/>
    <x v="143"/>
    <n v="194"/>
    <x v="0"/>
    <x v="1"/>
    <x v="0"/>
    <s v="No"/>
    <s v="Y"/>
    <n v="4"/>
    <n v="-2"/>
    <n v="0"/>
    <x v="7"/>
    <x v="1"/>
    <x v="1"/>
    <n v="0"/>
    <n v="1"/>
    <n v="438"/>
    <n v="18"/>
    <x v="3"/>
    <x v="0"/>
    <n v="1"/>
    <n v="75"/>
    <n v="3"/>
    <n v="1"/>
    <n v="2"/>
    <x v="140"/>
    <n v="23910"/>
    <n v="1"/>
    <n v="14"/>
    <n v="3"/>
    <n v="3"/>
    <n v="80"/>
    <n v="0"/>
    <n v="5"/>
    <n v="2"/>
    <n v="5"/>
    <n v="4"/>
    <n v="0"/>
    <n v="4"/>
  </r>
  <r>
    <x v="1"/>
    <s v="Travel_Frequently"/>
    <x v="2"/>
    <s v="Current Employees"/>
    <x v="0"/>
    <x v="2"/>
    <x v="144"/>
    <n v="195"/>
    <x v="1"/>
    <x v="0"/>
    <x v="2"/>
    <s v="No"/>
    <s v="Y"/>
    <n v="2"/>
    <n v="-2"/>
    <n v="0"/>
    <x v="5"/>
    <x v="1"/>
    <x v="1"/>
    <n v="0"/>
    <n v="1"/>
    <n v="689"/>
    <n v="9"/>
    <x v="0"/>
    <x v="0"/>
    <n v="4"/>
    <n v="35"/>
    <n v="1"/>
    <n v="2"/>
    <n v="4"/>
    <x v="141"/>
    <n v="22812"/>
    <n v="0"/>
    <n v="17"/>
    <n v="3"/>
    <n v="4"/>
    <n v="80"/>
    <n v="3"/>
    <n v="9"/>
    <n v="4"/>
    <n v="8"/>
    <n v="7"/>
    <n v="0"/>
    <n v="7"/>
  </r>
  <r>
    <x v="1"/>
    <s v="Travel_Rarely"/>
    <x v="2"/>
    <s v="Current Employees"/>
    <x v="1"/>
    <x v="4"/>
    <x v="145"/>
    <n v="197"/>
    <x v="0"/>
    <x v="1"/>
    <x v="2"/>
    <s v="No"/>
    <s v="Y"/>
    <n v="3"/>
    <n v="-2"/>
    <n v="0"/>
    <x v="7"/>
    <x v="1"/>
    <x v="1"/>
    <n v="0"/>
    <n v="1"/>
    <n v="201"/>
    <n v="5"/>
    <x v="3"/>
    <x v="0"/>
    <n v="4"/>
    <n v="84"/>
    <n v="3"/>
    <n v="1"/>
    <n v="4"/>
    <x v="142"/>
    <n v="10415"/>
    <n v="5"/>
    <n v="14"/>
    <n v="3"/>
    <n v="4"/>
    <n v="80"/>
    <n v="1"/>
    <n v="8"/>
    <n v="3"/>
    <n v="3"/>
    <n v="2"/>
    <n v="2"/>
    <n v="2"/>
  </r>
  <r>
    <x v="1"/>
    <s v="Travel_Rarely"/>
    <x v="2"/>
    <s v="Current Employees"/>
    <x v="1"/>
    <x v="2"/>
    <x v="146"/>
    <n v="198"/>
    <x v="1"/>
    <x v="2"/>
    <x v="0"/>
    <s v="No"/>
    <s v="Y"/>
    <n v="3"/>
    <n v="-2"/>
    <n v="0"/>
    <x v="7"/>
    <x v="1"/>
    <x v="1"/>
    <n v="0"/>
    <n v="1"/>
    <n v="1427"/>
    <n v="2"/>
    <x v="1"/>
    <x v="0"/>
    <n v="2"/>
    <n v="35"/>
    <n v="2"/>
    <n v="1"/>
    <n v="4"/>
    <x v="143"/>
    <n v="11162"/>
    <n v="0"/>
    <n v="13"/>
    <n v="3"/>
    <n v="4"/>
    <n v="80"/>
    <n v="0"/>
    <n v="6"/>
    <n v="3"/>
    <n v="5"/>
    <n v="3"/>
    <n v="1"/>
    <n v="2"/>
  </r>
  <r>
    <x v="1"/>
    <s v="Travel_Frequently"/>
    <x v="0"/>
    <s v="Current Employees"/>
    <x v="1"/>
    <x v="0"/>
    <x v="147"/>
    <n v="199"/>
    <x v="1"/>
    <x v="5"/>
    <x v="2"/>
    <s v="No"/>
    <s v="Y"/>
    <n v="2"/>
    <n v="-2"/>
    <n v="0"/>
    <x v="0"/>
    <x v="1"/>
    <x v="1"/>
    <n v="0"/>
    <n v="1"/>
    <n v="857"/>
    <n v="10"/>
    <x v="3"/>
    <x v="0"/>
    <n v="4"/>
    <n v="91"/>
    <n v="2"/>
    <n v="4"/>
    <n v="2"/>
    <x v="144"/>
    <n v="12888"/>
    <n v="4"/>
    <n v="13"/>
    <n v="3"/>
    <n v="2"/>
    <n v="80"/>
    <n v="1"/>
    <n v="21"/>
    <n v="2"/>
    <n v="7"/>
    <n v="6"/>
    <n v="7"/>
    <n v="7"/>
  </r>
  <r>
    <x v="1"/>
    <s v="Travel_Rarely"/>
    <x v="0"/>
    <s v="Current Employees"/>
    <x v="1"/>
    <x v="0"/>
    <x v="148"/>
    <n v="200"/>
    <x v="1"/>
    <x v="2"/>
    <x v="1"/>
    <s v="No"/>
    <s v="Y"/>
    <n v="2"/>
    <n v="-2"/>
    <n v="0"/>
    <x v="0"/>
    <x v="1"/>
    <x v="1"/>
    <n v="0"/>
    <n v="1"/>
    <n v="933"/>
    <n v="9"/>
    <x v="2"/>
    <x v="0"/>
    <n v="3"/>
    <n v="94"/>
    <n v="3"/>
    <n v="1"/>
    <n v="2"/>
    <x v="145"/>
    <n v="6961"/>
    <n v="2"/>
    <n v="21"/>
    <n v="4"/>
    <n v="4"/>
    <n v="80"/>
    <n v="1"/>
    <n v="7"/>
    <n v="3"/>
    <n v="5"/>
    <n v="0"/>
    <n v="1"/>
    <n v="4"/>
  </r>
  <r>
    <x v="1"/>
    <s v="Travel_Rarely"/>
    <x v="4"/>
    <s v="Current Employees"/>
    <x v="1"/>
    <x v="2"/>
    <x v="149"/>
    <n v="201"/>
    <x v="0"/>
    <x v="2"/>
    <x v="0"/>
    <s v="No"/>
    <s v="Y"/>
    <n v="3"/>
    <n v="-2"/>
    <n v="0"/>
    <x v="37"/>
    <x v="1"/>
    <x v="1"/>
    <n v="0"/>
    <n v="1"/>
    <n v="1181"/>
    <n v="3"/>
    <x v="1"/>
    <x v="0"/>
    <n v="2"/>
    <n v="79"/>
    <n v="3"/>
    <n v="1"/>
    <n v="3"/>
    <x v="146"/>
    <n v="16102"/>
    <n v="1"/>
    <n v="14"/>
    <n v="3"/>
    <n v="4"/>
    <n v="80"/>
    <n v="0"/>
    <n v="1"/>
    <n v="3"/>
    <n v="1"/>
    <n v="0"/>
    <n v="0"/>
    <n v="0"/>
  </r>
  <r>
    <x v="1"/>
    <s v="Travel_Frequently"/>
    <x v="0"/>
    <s v="Current Employees"/>
    <x v="1"/>
    <x v="2"/>
    <x v="150"/>
    <n v="202"/>
    <x v="0"/>
    <x v="1"/>
    <x v="2"/>
    <s v="No"/>
    <s v="Y"/>
    <n v="2"/>
    <n v="-2"/>
    <n v="0"/>
    <x v="32"/>
    <x v="1"/>
    <x v="1"/>
    <n v="0"/>
    <n v="1"/>
    <n v="1395"/>
    <n v="26"/>
    <x v="3"/>
    <x v="0"/>
    <n v="2"/>
    <n v="54"/>
    <n v="3"/>
    <n v="2"/>
    <n v="3"/>
    <x v="147"/>
    <n v="8504"/>
    <n v="1"/>
    <n v="11"/>
    <n v="3"/>
    <n v="1"/>
    <n v="80"/>
    <n v="1"/>
    <n v="20"/>
    <n v="3"/>
    <n v="20"/>
    <n v="7"/>
    <n v="2"/>
    <n v="13"/>
  </r>
  <r>
    <x v="1"/>
    <s v="Travel_Rarely"/>
    <x v="0"/>
    <s v="Current Employees"/>
    <x v="0"/>
    <x v="3"/>
    <x v="151"/>
    <n v="204"/>
    <x v="1"/>
    <x v="0"/>
    <x v="1"/>
    <s v="No"/>
    <s v="Y"/>
    <n v="3"/>
    <n v="-2"/>
    <n v="0"/>
    <x v="10"/>
    <x v="1"/>
    <x v="1"/>
    <n v="0"/>
    <n v="1"/>
    <n v="662"/>
    <n v="1"/>
    <x v="4"/>
    <x v="0"/>
    <n v="3"/>
    <n v="94"/>
    <n v="3"/>
    <n v="3"/>
    <n v="3"/>
    <x v="148"/>
    <n v="11439"/>
    <n v="1"/>
    <n v="13"/>
    <n v="3"/>
    <n v="1"/>
    <n v="80"/>
    <n v="2"/>
    <n v="10"/>
    <n v="3"/>
    <n v="10"/>
    <n v="8"/>
    <n v="0"/>
    <n v="6"/>
  </r>
  <r>
    <x v="1"/>
    <s v="Travel_Rarely"/>
    <x v="1"/>
    <s v="Current Employees"/>
    <x v="0"/>
    <x v="3"/>
    <x v="152"/>
    <n v="205"/>
    <x v="1"/>
    <x v="6"/>
    <x v="1"/>
    <s v="Yes"/>
    <s v="Y"/>
    <n v="3"/>
    <n v="-2"/>
    <n v="0"/>
    <x v="16"/>
    <x v="1"/>
    <x v="1"/>
    <n v="0"/>
    <n v="1"/>
    <n v="1436"/>
    <n v="6"/>
    <x v="0"/>
    <x v="0"/>
    <n v="2"/>
    <n v="34"/>
    <n v="3"/>
    <n v="2"/>
    <n v="3"/>
    <x v="149"/>
    <n v="16047"/>
    <n v="2"/>
    <n v="20"/>
    <n v="4"/>
    <n v="4"/>
    <n v="80"/>
    <n v="1"/>
    <n v="13"/>
    <n v="1"/>
    <n v="7"/>
    <n v="7"/>
    <n v="4"/>
    <n v="5"/>
  </r>
  <r>
    <x v="1"/>
    <s v="Travel_Rarely"/>
    <x v="1"/>
    <s v="Current Employees"/>
    <x v="1"/>
    <x v="0"/>
    <x v="153"/>
    <n v="206"/>
    <x v="1"/>
    <x v="2"/>
    <x v="2"/>
    <s v="No"/>
    <s v="Y"/>
    <n v="2"/>
    <n v="-2"/>
    <n v="0"/>
    <x v="28"/>
    <x v="1"/>
    <x v="1"/>
    <n v="0"/>
    <n v="1"/>
    <n v="194"/>
    <n v="9"/>
    <x v="3"/>
    <x v="0"/>
    <n v="2"/>
    <n v="60"/>
    <n v="3"/>
    <n v="2"/>
    <n v="2"/>
    <x v="150"/>
    <n v="10901"/>
    <n v="8"/>
    <n v="18"/>
    <n v="3"/>
    <n v="3"/>
    <n v="80"/>
    <n v="1"/>
    <n v="20"/>
    <n v="1"/>
    <n v="17"/>
    <n v="9"/>
    <n v="0"/>
    <n v="15"/>
  </r>
  <r>
    <x v="1"/>
    <s v="Travel_Frequently"/>
    <x v="2"/>
    <s v="Current Employees"/>
    <x v="0"/>
    <x v="3"/>
    <x v="154"/>
    <n v="207"/>
    <x v="0"/>
    <x v="0"/>
    <x v="0"/>
    <s v="No"/>
    <s v="Y"/>
    <n v="2"/>
    <n v="-2"/>
    <n v="0"/>
    <x v="5"/>
    <x v="1"/>
    <x v="1"/>
    <n v="0"/>
    <n v="1"/>
    <n v="967"/>
    <n v="8"/>
    <x v="3"/>
    <x v="0"/>
    <n v="2"/>
    <n v="43"/>
    <n v="3"/>
    <n v="3"/>
    <n v="4"/>
    <x v="151"/>
    <n v="15589"/>
    <n v="1"/>
    <n v="14"/>
    <n v="3"/>
    <n v="4"/>
    <n v="80"/>
    <n v="0"/>
    <n v="9"/>
    <n v="3"/>
    <n v="9"/>
    <n v="8"/>
    <n v="3"/>
    <n v="7"/>
  </r>
  <r>
    <x v="1"/>
    <s v="Non-Travel"/>
    <x v="2"/>
    <s v="Current Employees"/>
    <x v="1"/>
    <x v="4"/>
    <x v="155"/>
    <n v="208"/>
    <x v="1"/>
    <x v="3"/>
    <x v="1"/>
    <s v="No"/>
    <s v="Y"/>
    <n v="1"/>
    <n v="-2"/>
    <n v="0"/>
    <x v="11"/>
    <x v="1"/>
    <x v="1"/>
    <n v="0"/>
    <n v="1"/>
    <n v="1496"/>
    <n v="1"/>
    <x v="1"/>
    <x v="0"/>
    <n v="4"/>
    <n v="41"/>
    <n v="3"/>
    <n v="2"/>
    <n v="4"/>
    <x v="152"/>
    <n v="26283"/>
    <n v="1"/>
    <n v="13"/>
    <n v="3"/>
    <n v="1"/>
    <n v="80"/>
    <n v="1"/>
    <n v="10"/>
    <n v="3"/>
    <n v="10"/>
    <n v="7"/>
    <n v="0"/>
    <n v="9"/>
  </r>
  <r>
    <x v="1"/>
    <s v="Travel_Rarely"/>
    <x v="1"/>
    <s v="Current Employees"/>
    <x v="1"/>
    <x v="2"/>
    <x v="156"/>
    <n v="211"/>
    <x v="1"/>
    <x v="3"/>
    <x v="1"/>
    <s v="No"/>
    <s v="Y"/>
    <n v="2"/>
    <n v="-2"/>
    <n v="0"/>
    <x v="31"/>
    <x v="1"/>
    <x v="1"/>
    <n v="0"/>
    <n v="1"/>
    <n v="1169"/>
    <n v="7"/>
    <x v="2"/>
    <x v="0"/>
    <n v="2"/>
    <n v="34"/>
    <n v="2"/>
    <n v="2"/>
    <n v="3"/>
    <x v="153"/>
    <n v="13983"/>
    <n v="2"/>
    <n v="17"/>
    <n v="3"/>
    <n v="3"/>
    <n v="80"/>
    <n v="0"/>
    <n v="10"/>
    <n v="3"/>
    <n v="1"/>
    <n v="0"/>
    <n v="0"/>
    <n v="0"/>
  </r>
  <r>
    <x v="1"/>
    <s v="Travel_Rarely"/>
    <x v="3"/>
    <s v="Current Employees"/>
    <x v="1"/>
    <x v="2"/>
    <x v="157"/>
    <n v="214"/>
    <x v="0"/>
    <x v="1"/>
    <x v="1"/>
    <s v="Yes"/>
    <s v="Y"/>
    <n v="3"/>
    <n v="-2"/>
    <n v="0"/>
    <x v="34"/>
    <x v="1"/>
    <x v="1"/>
    <n v="0"/>
    <n v="1"/>
    <n v="1145"/>
    <n v="9"/>
    <x v="3"/>
    <x v="0"/>
    <n v="2"/>
    <n v="75"/>
    <n v="2"/>
    <n v="1"/>
    <n v="3"/>
    <x v="154"/>
    <n v="11873"/>
    <n v="4"/>
    <n v="20"/>
    <n v="4"/>
    <n v="2"/>
    <n v="80"/>
    <n v="1"/>
    <n v="9"/>
    <n v="2"/>
    <n v="1"/>
    <n v="0"/>
    <n v="0"/>
    <n v="0"/>
  </r>
  <r>
    <x v="1"/>
    <s v="Travel_Rarely"/>
    <x v="0"/>
    <s v="Current Employees"/>
    <x v="0"/>
    <x v="3"/>
    <x v="158"/>
    <n v="215"/>
    <x v="1"/>
    <x v="0"/>
    <x v="1"/>
    <s v="No"/>
    <s v="Y"/>
    <n v="2"/>
    <n v="-2"/>
    <n v="0"/>
    <x v="32"/>
    <x v="1"/>
    <x v="1"/>
    <n v="0"/>
    <n v="1"/>
    <n v="630"/>
    <n v="4"/>
    <x v="2"/>
    <x v="0"/>
    <n v="3"/>
    <n v="67"/>
    <n v="2"/>
    <n v="3"/>
    <n v="4"/>
    <x v="155"/>
    <n v="8552"/>
    <n v="7"/>
    <n v="11"/>
    <n v="3"/>
    <n v="1"/>
    <n v="80"/>
    <n v="1"/>
    <n v="15"/>
    <n v="2"/>
    <n v="12"/>
    <n v="11"/>
    <n v="2"/>
    <n v="11"/>
  </r>
  <r>
    <x v="1"/>
    <s v="Travel_Frequently"/>
    <x v="2"/>
    <s v="Current Employees"/>
    <x v="0"/>
    <x v="3"/>
    <x v="159"/>
    <n v="216"/>
    <x v="0"/>
    <x v="6"/>
    <x v="1"/>
    <s v="No"/>
    <s v="Y"/>
    <n v="3"/>
    <n v="-2"/>
    <n v="0"/>
    <x v="13"/>
    <x v="1"/>
    <x v="1"/>
    <n v="0"/>
    <n v="1"/>
    <n v="303"/>
    <n v="2"/>
    <x v="2"/>
    <x v="0"/>
    <n v="3"/>
    <n v="75"/>
    <n v="3"/>
    <n v="1"/>
    <n v="3"/>
    <x v="156"/>
    <n v="11314"/>
    <n v="6"/>
    <n v="18"/>
    <n v="3"/>
    <n v="4"/>
    <n v="80"/>
    <n v="1"/>
    <n v="6"/>
    <n v="3"/>
    <n v="4"/>
    <n v="3"/>
    <n v="1"/>
    <n v="2"/>
  </r>
  <r>
    <x v="1"/>
    <s v="Travel_Rarely"/>
    <x v="4"/>
    <s v="Current Employees"/>
    <x v="1"/>
    <x v="2"/>
    <x v="160"/>
    <n v="217"/>
    <x v="1"/>
    <x v="1"/>
    <x v="1"/>
    <s v="No"/>
    <s v="Y"/>
    <n v="6"/>
    <n v="-2"/>
    <n v="0"/>
    <x v="15"/>
    <x v="1"/>
    <x v="1"/>
    <n v="0"/>
    <n v="1"/>
    <n v="1256"/>
    <n v="19"/>
    <x v="1"/>
    <x v="0"/>
    <n v="3"/>
    <n v="80"/>
    <n v="3"/>
    <n v="1"/>
    <n v="4"/>
    <x v="157"/>
    <n v="11992"/>
    <n v="1"/>
    <n v="24"/>
    <n v="4"/>
    <n v="1"/>
    <n v="80"/>
    <n v="2"/>
    <n v="2"/>
    <n v="3"/>
    <n v="2"/>
    <n v="2"/>
    <n v="2"/>
    <n v="2"/>
  </r>
  <r>
    <x v="1"/>
    <s v="Non-Travel"/>
    <x v="2"/>
    <s v="Current Employees"/>
    <x v="1"/>
    <x v="2"/>
    <x v="161"/>
    <n v="218"/>
    <x v="1"/>
    <x v="1"/>
    <x v="2"/>
    <s v="No"/>
    <s v="Y"/>
    <n v="1"/>
    <n v="-2"/>
    <n v="0"/>
    <x v="4"/>
    <x v="1"/>
    <x v="1"/>
    <n v="0"/>
    <n v="1"/>
    <n v="691"/>
    <n v="9"/>
    <x v="3"/>
    <x v="0"/>
    <n v="4"/>
    <n v="57"/>
    <n v="3"/>
    <n v="1"/>
    <n v="3"/>
    <x v="158"/>
    <n v="5970"/>
    <n v="6"/>
    <n v="18"/>
    <n v="3"/>
    <n v="4"/>
    <n v="80"/>
    <n v="1"/>
    <n v="6"/>
    <n v="1"/>
    <n v="2"/>
    <n v="2"/>
    <n v="2"/>
    <n v="2"/>
  </r>
  <r>
    <x v="1"/>
    <s v="Travel_Rarely"/>
    <x v="2"/>
    <s v="Current Employees"/>
    <x v="1"/>
    <x v="2"/>
    <x v="162"/>
    <n v="221"/>
    <x v="1"/>
    <x v="1"/>
    <x v="1"/>
    <s v="No"/>
    <s v="Y"/>
    <n v="2"/>
    <n v="-2"/>
    <n v="0"/>
    <x v="14"/>
    <x v="1"/>
    <x v="1"/>
    <n v="0"/>
    <n v="1"/>
    <n v="440"/>
    <n v="21"/>
    <x v="3"/>
    <x v="0"/>
    <n v="3"/>
    <n v="42"/>
    <n v="3"/>
    <n v="1"/>
    <n v="4"/>
    <x v="159"/>
    <n v="6672"/>
    <n v="1"/>
    <n v="11"/>
    <n v="3"/>
    <n v="3"/>
    <n v="80"/>
    <n v="1"/>
    <n v="5"/>
    <n v="1"/>
    <n v="5"/>
    <n v="2"/>
    <n v="0"/>
    <n v="2"/>
  </r>
  <r>
    <x v="1"/>
    <s v="Travel_Rarely"/>
    <x v="3"/>
    <s v="Current Employees"/>
    <x v="1"/>
    <x v="0"/>
    <x v="163"/>
    <n v="223"/>
    <x v="1"/>
    <x v="4"/>
    <x v="2"/>
    <s v="Yes"/>
    <s v="Y"/>
    <n v="2"/>
    <n v="-2"/>
    <n v="0"/>
    <x v="38"/>
    <x v="1"/>
    <x v="1"/>
    <n v="0"/>
    <n v="1"/>
    <n v="334"/>
    <n v="24"/>
    <x v="0"/>
    <x v="0"/>
    <n v="3"/>
    <n v="83"/>
    <n v="4"/>
    <n v="3"/>
    <n v="2"/>
    <x v="160"/>
    <n v="23402"/>
    <n v="3"/>
    <n v="16"/>
    <n v="3"/>
    <n v="2"/>
    <n v="80"/>
    <n v="1"/>
    <n v="12"/>
    <n v="1"/>
    <n v="5"/>
    <n v="3"/>
    <n v="1"/>
    <n v="4"/>
  </r>
  <r>
    <x v="1"/>
    <s v="Non-Travel"/>
    <x v="2"/>
    <s v="Current Employees"/>
    <x v="1"/>
    <x v="2"/>
    <x v="164"/>
    <n v="224"/>
    <x v="1"/>
    <x v="1"/>
    <x v="2"/>
    <s v="Yes"/>
    <s v="Y"/>
    <n v="2"/>
    <n v="-2"/>
    <n v="0"/>
    <x v="4"/>
    <x v="1"/>
    <x v="1"/>
    <n v="0"/>
    <n v="1"/>
    <n v="1450"/>
    <n v="3"/>
    <x v="3"/>
    <x v="0"/>
    <n v="3"/>
    <n v="79"/>
    <n v="2"/>
    <n v="1"/>
    <n v="3"/>
    <x v="161"/>
    <n v="25326"/>
    <n v="1"/>
    <n v="15"/>
    <n v="3"/>
    <n v="4"/>
    <n v="80"/>
    <n v="1"/>
    <n v="1"/>
    <n v="2"/>
    <n v="1"/>
    <n v="1"/>
    <n v="0"/>
    <n v="1"/>
  </r>
  <r>
    <x v="1"/>
    <s v="Travel_Rarely"/>
    <x v="1"/>
    <s v="Current Employees"/>
    <x v="1"/>
    <x v="0"/>
    <x v="165"/>
    <n v="226"/>
    <x v="0"/>
    <x v="5"/>
    <x v="0"/>
    <s v="No"/>
    <s v="Y"/>
    <n v="5"/>
    <n v="-2"/>
    <n v="0"/>
    <x v="24"/>
    <x v="1"/>
    <x v="1"/>
    <n v="0"/>
    <n v="1"/>
    <n v="1452"/>
    <n v="11"/>
    <x v="3"/>
    <x v="0"/>
    <n v="3"/>
    <n v="53"/>
    <n v="3"/>
    <n v="5"/>
    <n v="2"/>
    <x v="162"/>
    <n v="17053"/>
    <n v="3"/>
    <n v="15"/>
    <n v="3"/>
    <n v="2"/>
    <n v="80"/>
    <n v="0"/>
    <n v="21"/>
    <n v="3"/>
    <n v="5"/>
    <n v="4"/>
    <n v="4"/>
    <n v="4"/>
  </r>
  <r>
    <x v="1"/>
    <s v="Travel_Rarely"/>
    <x v="0"/>
    <s v="Current Employees"/>
    <x v="1"/>
    <x v="0"/>
    <x v="166"/>
    <n v="227"/>
    <x v="1"/>
    <x v="1"/>
    <x v="2"/>
    <s v="No"/>
    <s v="Y"/>
    <n v="2"/>
    <n v="-2"/>
    <n v="0"/>
    <x v="0"/>
    <x v="1"/>
    <x v="1"/>
    <n v="0"/>
    <n v="1"/>
    <n v="465"/>
    <n v="14"/>
    <x v="3"/>
    <x v="0"/>
    <n v="1"/>
    <n v="56"/>
    <n v="3"/>
    <n v="1"/>
    <n v="2"/>
    <x v="163"/>
    <n v="4609"/>
    <n v="4"/>
    <n v="12"/>
    <n v="3"/>
    <n v="1"/>
    <n v="80"/>
    <n v="1"/>
    <n v="13"/>
    <n v="3"/>
    <n v="9"/>
    <n v="8"/>
    <n v="1"/>
    <n v="8"/>
  </r>
  <r>
    <x v="1"/>
    <s v="Travel_Rarely"/>
    <x v="2"/>
    <s v="Current Employees"/>
    <x v="0"/>
    <x v="0"/>
    <x v="167"/>
    <n v="228"/>
    <x v="0"/>
    <x v="0"/>
    <x v="1"/>
    <s v="No"/>
    <s v="Y"/>
    <n v="2"/>
    <n v="-2"/>
    <n v="0"/>
    <x v="7"/>
    <x v="1"/>
    <x v="1"/>
    <n v="0"/>
    <n v="1"/>
    <n v="1339"/>
    <n v="5"/>
    <x v="3"/>
    <x v="0"/>
    <n v="2"/>
    <n v="41"/>
    <n v="3"/>
    <n v="3"/>
    <n v="2"/>
    <x v="164"/>
    <n v="8053"/>
    <n v="2"/>
    <n v="12"/>
    <n v="3"/>
    <n v="3"/>
    <n v="80"/>
    <n v="1"/>
    <n v="12"/>
    <n v="3"/>
    <n v="10"/>
    <n v="9"/>
    <n v="7"/>
    <n v="4"/>
  </r>
  <r>
    <x v="1"/>
    <s v="Travel_Rarely"/>
    <x v="0"/>
    <s v="Current Employees"/>
    <x v="0"/>
    <x v="0"/>
    <x v="168"/>
    <n v="230"/>
    <x v="0"/>
    <x v="0"/>
    <x v="0"/>
    <s v="No"/>
    <s v="Y"/>
    <n v="2"/>
    <n v="-2"/>
    <n v="0"/>
    <x v="8"/>
    <x v="1"/>
    <x v="1"/>
    <n v="0"/>
    <n v="1"/>
    <n v="702"/>
    <n v="1"/>
    <x v="2"/>
    <x v="0"/>
    <n v="1"/>
    <n v="59"/>
    <n v="2"/>
    <n v="2"/>
    <n v="2"/>
    <x v="165"/>
    <n v="12930"/>
    <n v="4"/>
    <n v="22"/>
    <n v="4"/>
    <n v="3"/>
    <n v="80"/>
    <n v="0"/>
    <n v="12"/>
    <n v="4"/>
    <n v="8"/>
    <n v="3"/>
    <n v="0"/>
    <n v="7"/>
  </r>
  <r>
    <x v="1"/>
    <s v="Travel_Rarely"/>
    <x v="2"/>
    <s v="Current Employees"/>
    <x v="1"/>
    <x v="0"/>
    <x v="169"/>
    <n v="231"/>
    <x v="1"/>
    <x v="1"/>
    <x v="0"/>
    <s v="No"/>
    <s v="Y"/>
    <n v="2"/>
    <n v="-2"/>
    <n v="0"/>
    <x v="5"/>
    <x v="1"/>
    <x v="1"/>
    <n v="0"/>
    <n v="1"/>
    <n v="120"/>
    <n v="6"/>
    <x v="4"/>
    <x v="0"/>
    <n v="3"/>
    <n v="43"/>
    <n v="3"/>
    <n v="1"/>
    <n v="2"/>
    <x v="71"/>
    <n v="12430"/>
    <n v="3"/>
    <n v="20"/>
    <n v="4"/>
    <n v="1"/>
    <n v="80"/>
    <n v="0"/>
    <n v="8"/>
    <n v="3"/>
    <n v="5"/>
    <n v="4"/>
    <n v="1"/>
    <n v="4"/>
  </r>
  <r>
    <x v="1"/>
    <s v="Travel_Rarely"/>
    <x v="2"/>
    <s v="Current Employees"/>
    <x v="1"/>
    <x v="4"/>
    <x v="170"/>
    <n v="233"/>
    <x v="1"/>
    <x v="1"/>
    <x v="1"/>
    <s v="Yes"/>
    <s v="Y"/>
    <n v="3"/>
    <n v="-2"/>
    <n v="0"/>
    <x v="4"/>
    <x v="1"/>
    <x v="1"/>
    <n v="0"/>
    <n v="1"/>
    <n v="1157"/>
    <n v="17"/>
    <x v="3"/>
    <x v="0"/>
    <n v="3"/>
    <n v="51"/>
    <n v="3"/>
    <n v="1"/>
    <n v="4"/>
    <x v="166"/>
    <n v="13364"/>
    <n v="0"/>
    <n v="16"/>
    <n v="3"/>
    <n v="4"/>
    <n v="80"/>
    <n v="1"/>
    <n v="6"/>
    <n v="2"/>
    <n v="5"/>
    <n v="2"/>
    <n v="1"/>
    <n v="1"/>
  </r>
  <r>
    <x v="0"/>
    <s v="Travel_Frequently"/>
    <x v="4"/>
    <s v="Ex-Employees"/>
    <x v="0"/>
    <x v="4"/>
    <x v="171"/>
    <n v="235"/>
    <x v="0"/>
    <x v="6"/>
    <x v="0"/>
    <s v="No"/>
    <s v="Y"/>
    <n v="5"/>
    <n v="-2"/>
    <n v="0"/>
    <x v="37"/>
    <x v="0"/>
    <x v="0"/>
    <n v="1"/>
    <n v="0"/>
    <n v="602"/>
    <n v="1"/>
    <x v="1"/>
    <x v="0"/>
    <n v="3"/>
    <n v="100"/>
    <n v="1"/>
    <n v="1"/>
    <n v="4"/>
    <x v="167"/>
    <n v="20989"/>
    <n v="0"/>
    <n v="21"/>
    <n v="4"/>
    <n v="1"/>
    <n v="80"/>
    <n v="0"/>
    <n v="1"/>
    <n v="4"/>
    <n v="0"/>
    <n v="0"/>
    <n v="0"/>
    <n v="0"/>
  </r>
  <r>
    <x v="1"/>
    <s v="Travel_Frequently"/>
    <x v="0"/>
    <s v="Current Employees"/>
    <x v="1"/>
    <x v="2"/>
    <x v="172"/>
    <n v="238"/>
    <x v="1"/>
    <x v="2"/>
    <x v="0"/>
    <s v="No"/>
    <s v="Y"/>
    <n v="3"/>
    <n v="-2"/>
    <n v="0"/>
    <x v="9"/>
    <x v="1"/>
    <x v="1"/>
    <n v="0"/>
    <n v="1"/>
    <n v="1480"/>
    <n v="3"/>
    <x v="0"/>
    <x v="0"/>
    <n v="4"/>
    <n v="30"/>
    <n v="3"/>
    <n v="1"/>
    <n v="3"/>
    <x v="168"/>
    <n v="15062"/>
    <n v="4"/>
    <n v="12"/>
    <n v="3"/>
    <n v="3"/>
    <n v="80"/>
    <n v="0"/>
    <n v="13"/>
    <n v="2"/>
    <n v="8"/>
    <n v="7"/>
    <n v="7"/>
    <n v="2"/>
  </r>
  <r>
    <x v="1"/>
    <s v="Non-Travel"/>
    <x v="2"/>
    <s v="Current Employees"/>
    <x v="1"/>
    <x v="2"/>
    <x v="173"/>
    <n v="239"/>
    <x v="1"/>
    <x v="2"/>
    <x v="2"/>
    <s v="No"/>
    <s v="Y"/>
    <n v="4"/>
    <n v="-2"/>
    <n v="0"/>
    <x v="7"/>
    <x v="1"/>
    <x v="1"/>
    <n v="0"/>
    <n v="1"/>
    <n v="111"/>
    <n v="9"/>
    <x v="3"/>
    <x v="0"/>
    <n v="3"/>
    <n v="66"/>
    <n v="3"/>
    <n v="2"/>
    <n v="1"/>
    <x v="169"/>
    <n v="11012"/>
    <n v="1"/>
    <n v="11"/>
    <n v="3"/>
    <n v="3"/>
    <n v="80"/>
    <n v="2"/>
    <n v="12"/>
    <n v="3"/>
    <n v="12"/>
    <n v="9"/>
    <n v="6"/>
    <n v="10"/>
  </r>
  <r>
    <x v="1"/>
    <s v="Travel_Rarely"/>
    <x v="1"/>
    <s v="Current Employees"/>
    <x v="0"/>
    <x v="0"/>
    <x v="174"/>
    <n v="240"/>
    <x v="0"/>
    <x v="0"/>
    <x v="2"/>
    <s v="Yes"/>
    <s v="Y"/>
    <n v="3"/>
    <n v="-2"/>
    <n v="0"/>
    <x v="28"/>
    <x v="1"/>
    <x v="1"/>
    <n v="0"/>
    <n v="1"/>
    <n v="1268"/>
    <n v="4"/>
    <x v="0"/>
    <x v="0"/>
    <n v="3"/>
    <n v="30"/>
    <n v="3"/>
    <n v="2"/>
    <n v="2"/>
    <x v="170"/>
    <n v="6319"/>
    <n v="4"/>
    <n v="11"/>
    <n v="3"/>
    <n v="1"/>
    <n v="80"/>
    <n v="1"/>
    <n v="9"/>
    <n v="4"/>
    <n v="5"/>
    <n v="4"/>
    <n v="0"/>
    <n v="3"/>
  </r>
  <r>
    <x v="1"/>
    <s v="Travel_Rarely"/>
    <x v="3"/>
    <s v="Current Employees"/>
    <x v="1"/>
    <x v="0"/>
    <x v="175"/>
    <n v="241"/>
    <x v="0"/>
    <x v="1"/>
    <x v="2"/>
    <s v="Yes"/>
    <s v="Y"/>
    <n v="3"/>
    <n v="-2"/>
    <n v="0"/>
    <x v="29"/>
    <x v="1"/>
    <x v="1"/>
    <n v="0"/>
    <n v="1"/>
    <n v="713"/>
    <n v="8"/>
    <x v="3"/>
    <x v="0"/>
    <n v="3"/>
    <n v="67"/>
    <n v="3"/>
    <n v="1"/>
    <n v="2"/>
    <x v="171"/>
    <n v="13939"/>
    <n v="4"/>
    <n v="18"/>
    <n v="3"/>
    <n v="3"/>
    <n v="80"/>
    <n v="1"/>
    <n v="19"/>
    <n v="3"/>
    <n v="2"/>
    <n v="2"/>
    <n v="2"/>
    <n v="2"/>
  </r>
  <r>
    <x v="1"/>
    <s v="Travel_Rarely"/>
    <x v="2"/>
    <s v="Current Employees"/>
    <x v="1"/>
    <x v="0"/>
    <x v="176"/>
    <n v="242"/>
    <x v="1"/>
    <x v="1"/>
    <x v="0"/>
    <s v="No"/>
    <s v="Y"/>
    <n v="2"/>
    <n v="-2"/>
    <n v="0"/>
    <x v="3"/>
    <x v="1"/>
    <x v="1"/>
    <n v="0"/>
    <n v="1"/>
    <n v="134"/>
    <n v="2"/>
    <x v="3"/>
    <x v="0"/>
    <n v="3"/>
    <n v="90"/>
    <n v="3"/>
    <n v="1"/>
    <n v="2"/>
    <x v="172"/>
    <n v="10515"/>
    <n v="0"/>
    <n v="14"/>
    <n v="3"/>
    <n v="1"/>
    <n v="80"/>
    <n v="0"/>
    <n v="4"/>
    <n v="4"/>
    <n v="3"/>
    <n v="1"/>
    <n v="0"/>
    <n v="2"/>
  </r>
  <r>
    <x v="0"/>
    <s v="Travel_Rarely"/>
    <x v="4"/>
    <s v="Ex-Employees"/>
    <x v="1"/>
    <x v="0"/>
    <x v="177"/>
    <n v="243"/>
    <x v="1"/>
    <x v="2"/>
    <x v="0"/>
    <s v="No"/>
    <s v="Y"/>
    <n v="3"/>
    <n v="-2"/>
    <n v="0"/>
    <x v="37"/>
    <x v="0"/>
    <x v="0"/>
    <n v="1"/>
    <n v="0"/>
    <n v="303"/>
    <n v="2"/>
    <x v="3"/>
    <x v="0"/>
    <n v="2"/>
    <n v="47"/>
    <n v="2"/>
    <n v="1"/>
    <n v="2"/>
    <x v="173"/>
    <n v="9241"/>
    <n v="1"/>
    <n v="22"/>
    <n v="4"/>
    <n v="3"/>
    <n v="80"/>
    <n v="0"/>
    <n v="1"/>
    <n v="2"/>
    <n v="1"/>
    <n v="0"/>
    <n v="1"/>
    <n v="0"/>
  </r>
  <r>
    <x v="1"/>
    <s v="Travel_Rarely"/>
    <x v="1"/>
    <s v="Current Employees"/>
    <x v="0"/>
    <x v="3"/>
    <x v="178"/>
    <n v="244"/>
    <x v="0"/>
    <x v="0"/>
    <x v="2"/>
    <s v="No"/>
    <s v="Y"/>
    <n v="2"/>
    <n v="-2"/>
    <n v="0"/>
    <x v="21"/>
    <x v="1"/>
    <x v="1"/>
    <n v="0"/>
    <n v="1"/>
    <n v="526"/>
    <n v="1"/>
    <x v="0"/>
    <x v="0"/>
    <n v="2"/>
    <n v="92"/>
    <n v="3"/>
    <n v="3"/>
    <n v="1"/>
    <x v="174"/>
    <n v="2137"/>
    <n v="1"/>
    <n v="25"/>
    <n v="4"/>
    <n v="3"/>
    <n v="80"/>
    <n v="3"/>
    <n v="24"/>
    <n v="3"/>
    <n v="24"/>
    <n v="13"/>
    <n v="15"/>
    <n v="7"/>
  </r>
  <r>
    <x v="1"/>
    <s v="Travel_Rarely"/>
    <x v="0"/>
    <s v="Current Employees"/>
    <x v="1"/>
    <x v="0"/>
    <x v="179"/>
    <n v="245"/>
    <x v="0"/>
    <x v="2"/>
    <x v="0"/>
    <s v="No"/>
    <s v="Y"/>
    <n v="3"/>
    <n v="-2"/>
    <n v="0"/>
    <x v="8"/>
    <x v="1"/>
    <x v="1"/>
    <n v="0"/>
    <n v="1"/>
    <n v="1380"/>
    <n v="9"/>
    <x v="0"/>
    <x v="0"/>
    <n v="3"/>
    <n v="75"/>
    <n v="3"/>
    <n v="1"/>
    <n v="2"/>
    <x v="175"/>
    <n v="6319"/>
    <n v="1"/>
    <n v="12"/>
    <n v="3"/>
    <n v="3"/>
    <n v="80"/>
    <n v="0"/>
    <n v="2"/>
    <n v="3"/>
    <n v="2"/>
    <n v="2"/>
    <n v="2"/>
    <n v="1"/>
  </r>
  <r>
    <x v="1"/>
    <s v="Travel_Rarely"/>
    <x v="2"/>
    <s v="Current Employees"/>
    <x v="1"/>
    <x v="2"/>
    <x v="180"/>
    <n v="246"/>
    <x v="0"/>
    <x v="1"/>
    <x v="1"/>
    <s v="Yes"/>
    <s v="Y"/>
    <n v="0"/>
    <n v="-2"/>
    <n v="0"/>
    <x v="12"/>
    <x v="1"/>
    <x v="1"/>
    <n v="0"/>
    <n v="1"/>
    <n v="140"/>
    <n v="12"/>
    <x v="1"/>
    <x v="0"/>
    <n v="3"/>
    <n v="95"/>
    <n v="3"/>
    <n v="1"/>
    <n v="4"/>
    <x v="176"/>
    <n v="6984"/>
    <n v="8"/>
    <n v="23"/>
    <n v="4"/>
    <n v="3"/>
    <n v="80"/>
    <n v="1"/>
    <n v="7"/>
    <n v="3"/>
    <n v="4"/>
    <n v="2"/>
    <n v="0"/>
    <n v="2"/>
  </r>
  <r>
    <x v="1"/>
    <s v="Travel_Rarely"/>
    <x v="2"/>
    <s v="Current Employees"/>
    <x v="1"/>
    <x v="2"/>
    <x v="181"/>
    <n v="247"/>
    <x v="0"/>
    <x v="1"/>
    <x v="0"/>
    <s v="No"/>
    <s v="Y"/>
    <n v="3"/>
    <n v="-2"/>
    <n v="0"/>
    <x v="13"/>
    <x v="1"/>
    <x v="1"/>
    <n v="0"/>
    <n v="1"/>
    <n v="629"/>
    <n v="27"/>
    <x v="0"/>
    <x v="0"/>
    <n v="4"/>
    <n v="95"/>
    <n v="3"/>
    <n v="1"/>
    <n v="3"/>
    <x v="177"/>
    <n v="5711"/>
    <n v="2"/>
    <n v="15"/>
    <n v="3"/>
    <n v="4"/>
    <n v="80"/>
    <n v="0"/>
    <n v="9"/>
    <n v="3"/>
    <n v="3"/>
    <n v="2"/>
    <n v="1"/>
    <n v="2"/>
  </r>
  <r>
    <x v="0"/>
    <s v="Travel_Rarely"/>
    <x v="0"/>
    <s v="Ex-Employees"/>
    <x v="0"/>
    <x v="3"/>
    <x v="182"/>
    <n v="248"/>
    <x v="0"/>
    <x v="6"/>
    <x v="0"/>
    <s v="Yes"/>
    <s v="Y"/>
    <n v="5"/>
    <n v="-2"/>
    <n v="0"/>
    <x v="0"/>
    <x v="0"/>
    <x v="0"/>
    <n v="1"/>
    <n v="0"/>
    <n v="1356"/>
    <n v="20"/>
    <x v="0"/>
    <x v="0"/>
    <n v="2"/>
    <n v="70"/>
    <n v="3"/>
    <n v="1"/>
    <n v="3"/>
    <x v="178"/>
    <n v="21728"/>
    <n v="1"/>
    <n v="22"/>
    <n v="4"/>
    <n v="4"/>
    <n v="80"/>
    <n v="0"/>
    <n v="4"/>
    <n v="2"/>
    <n v="4"/>
    <n v="3"/>
    <n v="0"/>
    <n v="2"/>
  </r>
  <r>
    <x v="1"/>
    <s v="Travel_Rarely"/>
    <x v="1"/>
    <s v="Current Employees"/>
    <x v="1"/>
    <x v="2"/>
    <x v="183"/>
    <n v="249"/>
    <x v="1"/>
    <x v="2"/>
    <x v="1"/>
    <s v="No"/>
    <s v="Y"/>
    <n v="2"/>
    <n v="-2"/>
    <n v="0"/>
    <x v="24"/>
    <x v="1"/>
    <x v="1"/>
    <n v="0"/>
    <n v="1"/>
    <n v="328"/>
    <n v="1"/>
    <x v="3"/>
    <x v="0"/>
    <n v="3"/>
    <n v="86"/>
    <n v="2"/>
    <n v="1"/>
    <n v="3"/>
    <x v="179"/>
    <n v="3425"/>
    <n v="2"/>
    <n v="15"/>
    <n v="3"/>
    <n v="4"/>
    <n v="80"/>
    <n v="1"/>
    <n v="5"/>
    <n v="2"/>
    <n v="3"/>
    <n v="2"/>
    <n v="0"/>
    <n v="2"/>
  </r>
  <r>
    <x v="1"/>
    <s v="Travel_Rarely"/>
    <x v="1"/>
    <s v="Current Employees"/>
    <x v="1"/>
    <x v="2"/>
    <x v="184"/>
    <n v="250"/>
    <x v="0"/>
    <x v="3"/>
    <x v="2"/>
    <s v="No"/>
    <s v="Y"/>
    <n v="3"/>
    <n v="-2"/>
    <n v="0"/>
    <x v="16"/>
    <x v="1"/>
    <x v="1"/>
    <n v="0"/>
    <n v="1"/>
    <n v="1084"/>
    <n v="13"/>
    <x v="0"/>
    <x v="0"/>
    <n v="4"/>
    <n v="57"/>
    <n v="4"/>
    <n v="2"/>
    <n v="3"/>
    <x v="180"/>
    <n v="26250"/>
    <n v="1"/>
    <n v="11"/>
    <n v="3"/>
    <n v="3"/>
    <n v="80"/>
    <n v="2"/>
    <n v="5"/>
    <n v="3"/>
    <n v="4"/>
    <n v="2"/>
    <n v="1"/>
    <n v="3"/>
  </r>
  <r>
    <x v="1"/>
    <s v="Travel_Rarely"/>
    <x v="2"/>
    <s v="Current Employees"/>
    <x v="1"/>
    <x v="2"/>
    <x v="185"/>
    <n v="252"/>
    <x v="0"/>
    <x v="1"/>
    <x v="1"/>
    <s v="No"/>
    <s v="Y"/>
    <n v="5"/>
    <n v="-2"/>
    <n v="0"/>
    <x v="3"/>
    <x v="1"/>
    <x v="1"/>
    <n v="0"/>
    <n v="1"/>
    <n v="931"/>
    <n v="14"/>
    <x v="3"/>
    <x v="0"/>
    <n v="4"/>
    <n v="72"/>
    <n v="3"/>
    <n v="1"/>
    <n v="3"/>
    <x v="181"/>
    <n v="4673"/>
    <n v="1"/>
    <n v="13"/>
    <n v="3"/>
    <n v="4"/>
    <n v="80"/>
    <n v="1"/>
    <n v="8"/>
    <n v="3"/>
    <n v="8"/>
    <n v="7"/>
    <n v="1"/>
    <n v="6"/>
  </r>
  <r>
    <x v="1"/>
    <s v="Travel_Rarely"/>
    <x v="0"/>
    <s v="Current Employees"/>
    <x v="1"/>
    <x v="2"/>
    <x v="186"/>
    <n v="253"/>
    <x v="0"/>
    <x v="5"/>
    <x v="1"/>
    <s v="No"/>
    <s v="Y"/>
    <n v="2"/>
    <n v="-2"/>
    <n v="0"/>
    <x v="32"/>
    <x v="1"/>
    <x v="1"/>
    <n v="0"/>
    <n v="1"/>
    <n v="989"/>
    <n v="4"/>
    <x v="1"/>
    <x v="0"/>
    <n v="4"/>
    <n v="46"/>
    <n v="3"/>
    <n v="5"/>
    <n v="3"/>
    <x v="182"/>
    <n v="6499"/>
    <n v="1"/>
    <n v="14"/>
    <n v="3"/>
    <n v="2"/>
    <n v="80"/>
    <n v="1"/>
    <n v="21"/>
    <n v="3"/>
    <n v="20"/>
    <n v="8"/>
    <n v="9"/>
    <n v="9"/>
  </r>
  <r>
    <x v="1"/>
    <s v="Travel_Rarely"/>
    <x v="3"/>
    <s v="Current Employees"/>
    <x v="1"/>
    <x v="2"/>
    <x v="187"/>
    <n v="254"/>
    <x v="1"/>
    <x v="7"/>
    <x v="0"/>
    <s v="No"/>
    <s v="Y"/>
    <n v="3"/>
    <n v="-2"/>
    <n v="0"/>
    <x v="27"/>
    <x v="1"/>
    <x v="1"/>
    <n v="0"/>
    <n v="1"/>
    <n v="692"/>
    <n v="14"/>
    <x v="2"/>
    <x v="0"/>
    <n v="3"/>
    <n v="61"/>
    <n v="4"/>
    <n v="5"/>
    <n v="3"/>
    <x v="183"/>
    <n v="13339"/>
    <n v="8"/>
    <n v="11"/>
    <n v="3"/>
    <n v="4"/>
    <n v="80"/>
    <n v="0"/>
    <n v="36"/>
    <n v="3"/>
    <n v="24"/>
    <n v="15"/>
    <n v="2"/>
    <n v="15"/>
  </r>
  <r>
    <x v="1"/>
    <s v="Travel_Frequently"/>
    <x v="2"/>
    <s v="Current Employees"/>
    <x v="1"/>
    <x v="0"/>
    <x v="188"/>
    <n v="256"/>
    <x v="1"/>
    <x v="3"/>
    <x v="1"/>
    <s v="No"/>
    <s v="Y"/>
    <n v="2"/>
    <n v="-2"/>
    <n v="0"/>
    <x v="13"/>
    <x v="1"/>
    <x v="1"/>
    <n v="0"/>
    <n v="1"/>
    <n v="1069"/>
    <n v="2"/>
    <x v="1"/>
    <x v="0"/>
    <n v="4"/>
    <n v="45"/>
    <n v="2"/>
    <n v="2"/>
    <n v="2"/>
    <x v="184"/>
    <n v="14074"/>
    <n v="1"/>
    <n v="17"/>
    <n v="3"/>
    <n v="3"/>
    <n v="80"/>
    <n v="0"/>
    <n v="10"/>
    <n v="2"/>
    <n v="10"/>
    <n v="9"/>
    <n v="1"/>
    <n v="9"/>
  </r>
  <r>
    <x v="1"/>
    <s v="Travel_Rarely"/>
    <x v="1"/>
    <s v="Current Employees"/>
    <x v="1"/>
    <x v="2"/>
    <x v="189"/>
    <n v="258"/>
    <x v="0"/>
    <x v="4"/>
    <x v="0"/>
    <s v="No"/>
    <s v="Y"/>
    <n v="6"/>
    <n v="-2"/>
    <n v="0"/>
    <x v="31"/>
    <x v="1"/>
    <x v="1"/>
    <n v="0"/>
    <n v="1"/>
    <n v="313"/>
    <n v="3"/>
    <x v="3"/>
    <x v="0"/>
    <n v="4"/>
    <n v="98"/>
    <n v="3"/>
    <n v="4"/>
    <n v="3"/>
    <x v="185"/>
    <n v="7192"/>
    <n v="3"/>
    <n v="18"/>
    <n v="3"/>
    <n v="3"/>
    <n v="80"/>
    <n v="0"/>
    <n v="21"/>
    <n v="3"/>
    <n v="7"/>
    <n v="7"/>
    <n v="1"/>
    <n v="0"/>
  </r>
  <r>
    <x v="1"/>
    <s v="Travel_Rarely"/>
    <x v="1"/>
    <s v="Current Employees"/>
    <x v="1"/>
    <x v="0"/>
    <x v="190"/>
    <n v="259"/>
    <x v="1"/>
    <x v="5"/>
    <x v="1"/>
    <s v="No"/>
    <s v="Y"/>
    <n v="5"/>
    <n v="-2"/>
    <n v="0"/>
    <x v="39"/>
    <x v="1"/>
    <x v="1"/>
    <n v="0"/>
    <n v="1"/>
    <n v="699"/>
    <n v="1"/>
    <x v="2"/>
    <x v="0"/>
    <n v="3"/>
    <n v="65"/>
    <n v="2"/>
    <n v="5"/>
    <n v="2"/>
    <x v="186"/>
    <n v="5678"/>
    <n v="0"/>
    <n v="14"/>
    <n v="3"/>
    <n v="1"/>
    <n v="80"/>
    <n v="1"/>
    <n v="34"/>
    <n v="3"/>
    <n v="33"/>
    <n v="18"/>
    <n v="11"/>
    <n v="9"/>
  </r>
  <r>
    <x v="1"/>
    <s v="Travel_Rarely"/>
    <x v="2"/>
    <s v="Current Employees"/>
    <x v="1"/>
    <x v="2"/>
    <x v="191"/>
    <n v="260"/>
    <x v="0"/>
    <x v="1"/>
    <x v="0"/>
    <s v="No"/>
    <s v="Y"/>
    <n v="2"/>
    <n v="-2"/>
    <n v="0"/>
    <x v="4"/>
    <x v="1"/>
    <x v="1"/>
    <n v="0"/>
    <n v="1"/>
    <n v="894"/>
    <n v="9"/>
    <x v="3"/>
    <x v="0"/>
    <n v="4"/>
    <n v="99"/>
    <n v="3"/>
    <n v="1"/>
    <n v="3"/>
    <x v="187"/>
    <n v="11781"/>
    <n v="1"/>
    <n v="16"/>
    <n v="3"/>
    <n v="4"/>
    <n v="80"/>
    <n v="0"/>
    <n v="7"/>
    <n v="2"/>
    <n v="7"/>
    <n v="7"/>
    <n v="0"/>
    <n v="3"/>
  </r>
  <r>
    <x v="0"/>
    <s v="Travel_Rarely"/>
    <x v="0"/>
    <s v="Ex-Employees"/>
    <x v="1"/>
    <x v="0"/>
    <x v="192"/>
    <n v="261"/>
    <x v="1"/>
    <x v="3"/>
    <x v="1"/>
    <s v="Yes"/>
    <s v="Y"/>
    <n v="1"/>
    <n v="-2"/>
    <n v="0"/>
    <x v="10"/>
    <x v="0"/>
    <x v="0"/>
    <n v="1"/>
    <n v="0"/>
    <n v="556"/>
    <n v="23"/>
    <x v="0"/>
    <x v="0"/>
    <n v="2"/>
    <n v="50"/>
    <n v="2"/>
    <n v="2"/>
    <n v="2"/>
    <x v="188"/>
    <n v="15497"/>
    <n v="3"/>
    <n v="13"/>
    <n v="3"/>
    <n v="1"/>
    <n v="80"/>
    <n v="0"/>
    <n v="8"/>
    <n v="3"/>
    <n v="1"/>
    <n v="0"/>
    <n v="0"/>
    <n v="1"/>
  </r>
  <r>
    <x v="1"/>
    <s v="Non-Travel"/>
    <x v="0"/>
    <s v="Current Employees"/>
    <x v="1"/>
    <x v="2"/>
    <x v="193"/>
    <n v="262"/>
    <x v="1"/>
    <x v="1"/>
    <x v="2"/>
    <s v="No"/>
    <s v="Y"/>
    <n v="3"/>
    <n v="-2"/>
    <n v="0"/>
    <x v="23"/>
    <x v="1"/>
    <x v="1"/>
    <n v="0"/>
    <n v="1"/>
    <n v="1344"/>
    <n v="7"/>
    <x v="3"/>
    <x v="0"/>
    <n v="4"/>
    <n v="37"/>
    <n v="4"/>
    <n v="1"/>
    <n v="4"/>
    <x v="189"/>
    <n v="5228"/>
    <n v="4"/>
    <n v="14"/>
    <n v="3"/>
    <n v="4"/>
    <n v="80"/>
    <n v="3"/>
    <n v="7"/>
    <n v="4"/>
    <n v="5"/>
    <n v="4"/>
    <n v="2"/>
    <n v="2"/>
  </r>
  <r>
    <x v="1"/>
    <s v="Non-Travel"/>
    <x v="1"/>
    <s v="Current Employees"/>
    <x v="1"/>
    <x v="2"/>
    <x v="194"/>
    <n v="264"/>
    <x v="1"/>
    <x v="5"/>
    <x v="1"/>
    <s v="No"/>
    <s v="Y"/>
    <n v="1"/>
    <n v="-2"/>
    <n v="0"/>
    <x v="28"/>
    <x v="1"/>
    <x v="1"/>
    <n v="0"/>
    <n v="1"/>
    <n v="1195"/>
    <n v="2"/>
    <x v="0"/>
    <x v="0"/>
    <n v="1"/>
    <n v="65"/>
    <n v="2"/>
    <n v="4"/>
    <n v="4"/>
    <x v="190"/>
    <n v="20462"/>
    <n v="9"/>
    <n v="23"/>
    <n v="4"/>
    <n v="4"/>
    <n v="80"/>
    <n v="1"/>
    <n v="22"/>
    <n v="3"/>
    <n v="20"/>
    <n v="8"/>
    <n v="11"/>
    <n v="8"/>
  </r>
  <r>
    <x v="1"/>
    <s v="Travel_Rarely"/>
    <x v="0"/>
    <s v="Current Employees"/>
    <x v="1"/>
    <x v="0"/>
    <x v="195"/>
    <n v="267"/>
    <x v="1"/>
    <x v="1"/>
    <x v="1"/>
    <s v="Yes"/>
    <s v="Y"/>
    <n v="3"/>
    <n v="-2"/>
    <n v="0"/>
    <x v="2"/>
    <x v="1"/>
    <x v="1"/>
    <n v="0"/>
    <n v="1"/>
    <n v="290"/>
    <n v="21"/>
    <x v="3"/>
    <x v="0"/>
    <n v="2"/>
    <n v="65"/>
    <n v="4"/>
    <n v="1"/>
    <n v="2"/>
    <x v="191"/>
    <n v="22977"/>
    <n v="1"/>
    <n v="12"/>
    <n v="3"/>
    <n v="1"/>
    <n v="80"/>
    <n v="1"/>
    <n v="8"/>
    <n v="2"/>
    <n v="8"/>
    <n v="7"/>
    <n v="1"/>
    <n v="7"/>
  </r>
  <r>
    <x v="1"/>
    <s v="Travel_Frequently"/>
    <x v="0"/>
    <s v="Current Employees"/>
    <x v="1"/>
    <x v="2"/>
    <x v="196"/>
    <n v="269"/>
    <x v="0"/>
    <x v="2"/>
    <x v="0"/>
    <s v="No"/>
    <s v="Y"/>
    <n v="5"/>
    <n v="-2"/>
    <n v="0"/>
    <x v="10"/>
    <x v="1"/>
    <x v="1"/>
    <n v="0"/>
    <n v="1"/>
    <n v="138"/>
    <n v="2"/>
    <x v="3"/>
    <x v="0"/>
    <n v="2"/>
    <n v="37"/>
    <n v="3"/>
    <n v="2"/>
    <n v="3"/>
    <x v="192"/>
    <n v="15986"/>
    <n v="5"/>
    <n v="11"/>
    <n v="3"/>
    <n v="4"/>
    <n v="80"/>
    <n v="0"/>
    <n v="10"/>
    <n v="3"/>
    <n v="6"/>
    <n v="2"/>
    <n v="1"/>
    <n v="2"/>
  </r>
  <r>
    <x v="1"/>
    <s v="Non-Travel"/>
    <x v="0"/>
    <s v="Current Employees"/>
    <x v="1"/>
    <x v="2"/>
    <x v="197"/>
    <n v="270"/>
    <x v="0"/>
    <x v="3"/>
    <x v="2"/>
    <s v="No"/>
    <s v="Y"/>
    <n v="5"/>
    <n v="-2"/>
    <n v="0"/>
    <x v="19"/>
    <x v="1"/>
    <x v="1"/>
    <n v="0"/>
    <n v="1"/>
    <n v="926"/>
    <n v="21"/>
    <x v="0"/>
    <x v="0"/>
    <n v="3"/>
    <n v="36"/>
    <n v="3"/>
    <n v="2"/>
    <n v="3"/>
    <x v="193"/>
    <n v="16439"/>
    <n v="2"/>
    <n v="16"/>
    <n v="3"/>
    <n v="2"/>
    <n v="80"/>
    <n v="1"/>
    <n v="11"/>
    <n v="3"/>
    <n v="5"/>
    <n v="3"/>
    <n v="0"/>
    <n v="2"/>
  </r>
  <r>
    <x v="1"/>
    <s v="Travel_Rarely"/>
    <x v="0"/>
    <s v="Current Employees"/>
    <x v="1"/>
    <x v="0"/>
    <x v="198"/>
    <n v="271"/>
    <x v="1"/>
    <x v="3"/>
    <x v="1"/>
    <s v="No"/>
    <s v="Y"/>
    <n v="3"/>
    <n v="-2"/>
    <n v="0"/>
    <x v="8"/>
    <x v="1"/>
    <x v="1"/>
    <n v="0"/>
    <n v="1"/>
    <n v="1261"/>
    <n v="2"/>
    <x v="2"/>
    <x v="0"/>
    <n v="4"/>
    <n v="88"/>
    <n v="3"/>
    <n v="2"/>
    <n v="2"/>
    <x v="194"/>
    <n v="7259"/>
    <n v="9"/>
    <n v="14"/>
    <n v="3"/>
    <n v="2"/>
    <n v="80"/>
    <n v="0"/>
    <n v="14"/>
    <n v="3"/>
    <n v="1"/>
    <n v="0"/>
    <n v="0"/>
    <n v="0"/>
  </r>
  <r>
    <x v="1"/>
    <s v="Travel_Rarely"/>
    <x v="0"/>
    <s v="Current Employees"/>
    <x v="1"/>
    <x v="4"/>
    <x v="199"/>
    <n v="273"/>
    <x v="1"/>
    <x v="3"/>
    <x v="1"/>
    <s v="No"/>
    <s v="Y"/>
    <n v="3"/>
    <n v="-2"/>
    <n v="0"/>
    <x v="8"/>
    <x v="1"/>
    <x v="1"/>
    <n v="0"/>
    <n v="1"/>
    <n v="1084"/>
    <n v="29"/>
    <x v="3"/>
    <x v="0"/>
    <n v="4"/>
    <n v="54"/>
    <n v="3"/>
    <n v="2"/>
    <n v="4"/>
    <x v="195"/>
    <n v="4185"/>
    <n v="3"/>
    <n v="18"/>
    <n v="3"/>
    <n v="1"/>
    <n v="80"/>
    <n v="1"/>
    <n v="9"/>
    <n v="1"/>
    <n v="7"/>
    <n v="7"/>
    <n v="1"/>
    <n v="7"/>
  </r>
  <r>
    <x v="1"/>
    <s v="Travel_Frequently"/>
    <x v="2"/>
    <s v="Current Employees"/>
    <x v="1"/>
    <x v="4"/>
    <x v="200"/>
    <n v="274"/>
    <x v="1"/>
    <x v="3"/>
    <x v="1"/>
    <s v="No"/>
    <s v="Y"/>
    <n v="1"/>
    <n v="-2"/>
    <n v="0"/>
    <x v="4"/>
    <x v="1"/>
    <x v="1"/>
    <n v="0"/>
    <n v="1"/>
    <n v="472"/>
    <n v="1"/>
    <x v="1"/>
    <x v="0"/>
    <n v="3"/>
    <n v="60"/>
    <n v="2"/>
    <n v="2"/>
    <n v="4"/>
    <x v="196"/>
    <n v="9679"/>
    <n v="5"/>
    <n v="19"/>
    <n v="3"/>
    <n v="3"/>
    <n v="80"/>
    <n v="1"/>
    <n v="6"/>
    <n v="3"/>
    <n v="2"/>
    <n v="2"/>
    <n v="2"/>
    <n v="0"/>
  </r>
  <r>
    <x v="1"/>
    <s v="Non-Travel"/>
    <x v="1"/>
    <s v="Current Employees"/>
    <x v="1"/>
    <x v="0"/>
    <x v="201"/>
    <n v="275"/>
    <x v="1"/>
    <x v="3"/>
    <x v="2"/>
    <s v="Yes"/>
    <s v="Y"/>
    <n v="0"/>
    <n v="-2"/>
    <n v="0"/>
    <x v="1"/>
    <x v="1"/>
    <x v="1"/>
    <n v="0"/>
    <n v="1"/>
    <n v="1002"/>
    <n v="18"/>
    <x v="2"/>
    <x v="0"/>
    <n v="4"/>
    <n v="92"/>
    <n v="3"/>
    <n v="2"/>
    <n v="2"/>
    <x v="197"/>
    <n v="23793"/>
    <n v="1"/>
    <n v="15"/>
    <n v="3"/>
    <n v="1"/>
    <n v="80"/>
    <n v="2"/>
    <n v="7"/>
    <n v="3"/>
    <n v="7"/>
    <n v="7"/>
    <n v="1"/>
    <n v="7"/>
  </r>
  <r>
    <x v="1"/>
    <s v="Travel_Frequently"/>
    <x v="2"/>
    <s v="Current Employees"/>
    <x v="1"/>
    <x v="2"/>
    <x v="202"/>
    <n v="277"/>
    <x v="1"/>
    <x v="1"/>
    <x v="2"/>
    <s v="Yes"/>
    <s v="Y"/>
    <n v="4"/>
    <n v="-2"/>
    <n v="0"/>
    <x v="13"/>
    <x v="1"/>
    <x v="1"/>
    <n v="0"/>
    <n v="1"/>
    <n v="878"/>
    <n v="10"/>
    <x v="2"/>
    <x v="0"/>
    <n v="4"/>
    <n v="43"/>
    <n v="3"/>
    <n v="1"/>
    <n v="3"/>
    <x v="198"/>
    <n v="5972"/>
    <n v="1"/>
    <n v="17"/>
    <n v="3"/>
    <n v="4"/>
    <n v="80"/>
    <n v="1"/>
    <n v="5"/>
    <n v="4"/>
    <n v="5"/>
    <n v="3"/>
    <n v="2"/>
    <n v="0"/>
  </r>
  <r>
    <x v="1"/>
    <s v="Travel_Rarely"/>
    <x v="0"/>
    <s v="Current Employees"/>
    <x v="1"/>
    <x v="2"/>
    <x v="203"/>
    <n v="281"/>
    <x v="1"/>
    <x v="2"/>
    <x v="1"/>
    <s v="Yes"/>
    <s v="Y"/>
    <n v="2"/>
    <n v="-2"/>
    <n v="0"/>
    <x v="32"/>
    <x v="1"/>
    <x v="1"/>
    <n v="0"/>
    <n v="1"/>
    <n v="905"/>
    <n v="19"/>
    <x v="0"/>
    <x v="0"/>
    <n v="3"/>
    <n v="99"/>
    <n v="3"/>
    <n v="2"/>
    <n v="4"/>
    <x v="199"/>
    <n v="16523"/>
    <n v="8"/>
    <n v="15"/>
    <n v="3"/>
    <n v="3"/>
    <n v="80"/>
    <n v="1"/>
    <n v="15"/>
    <n v="4"/>
    <n v="7"/>
    <n v="2"/>
    <n v="3"/>
    <n v="7"/>
  </r>
  <r>
    <x v="0"/>
    <s v="Travel_Rarely"/>
    <x v="0"/>
    <s v="Ex-Employees"/>
    <x v="1"/>
    <x v="2"/>
    <x v="204"/>
    <n v="282"/>
    <x v="1"/>
    <x v="4"/>
    <x v="1"/>
    <s v="Yes"/>
    <s v="Y"/>
    <n v="2"/>
    <n v="-2"/>
    <n v="0"/>
    <x v="8"/>
    <x v="0"/>
    <x v="0"/>
    <n v="1"/>
    <n v="0"/>
    <n v="1180"/>
    <n v="29"/>
    <x v="1"/>
    <x v="0"/>
    <n v="2"/>
    <n v="70"/>
    <n v="3"/>
    <n v="2"/>
    <n v="3"/>
    <x v="200"/>
    <n v="11354"/>
    <n v="7"/>
    <n v="19"/>
    <n v="3"/>
    <n v="2"/>
    <n v="80"/>
    <n v="0"/>
    <n v="17"/>
    <n v="3"/>
    <n v="1"/>
    <n v="0"/>
    <n v="0"/>
    <n v="0"/>
  </r>
  <r>
    <x v="0"/>
    <s v="Travel_Rarely"/>
    <x v="2"/>
    <s v="Ex-Employees"/>
    <x v="0"/>
    <x v="3"/>
    <x v="205"/>
    <n v="283"/>
    <x v="0"/>
    <x v="0"/>
    <x v="1"/>
    <s v="No"/>
    <s v="Y"/>
    <n v="3"/>
    <n v="-2"/>
    <n v="0"/>
    <x v="11"/>
    <x v="0"/>
    <x v="0"/>
    <n v="1"/>
    <n v="0"/>
    <n v="121"/>
    <n v="27"/>
    <x v="3"/>
    <x v="0"/>
    <n v="2"/>
    <n v="35"/>
    <n v="3"/>
    <n v="3"/>
    <n v="4"/>
    <x v="201"/>
    <n v="24525"/>
    <n v="1"/>
    <n v="22"/>
    <n v="4"/>
    <n v="4"/>
    <n v="80"/>
    <n v="3"/>
    <n v="10"/>
    <n v="2"/>
    <n v="10"/>
    <n v="4"/>
    <n v="1"/>
    <n v="9"/>
  </r>
  <r>
    <x v="1"/>
    <s v="Travel_Rarely"/>
    <x v="4"/>
    <s v="Current Employees"/>
    <x v="1"/>
    <x v="0"/>
    <x v="206"/>
    <n v="284"/>
    <x v="1"/>
    <x v="1"/>
    <x v="2"/>
    <s v="Yes"/>
    <s v="Y"/>
    <n v="2"/>
    <n v="-2"/>
    <n v="0"/>
    <x v="15"/>
    <x v="1"/>
    <x v="1"/>
    <n v="0"/>
    <n v="1"/>
    <n v="1136"/>
    <n v="5"/>
    <x v="3"/>
    <x v="0"/>
    <n v="4"/>
    <n v="60"/>
    <n v="4"/>
    <n v="1"/>
    <n v="2"/>
    <x v="202"/>
    <n v="12392"/>
    <n v="1"/>
    <n v="16"/>
    <n v="3"/>
    <n v="1"/>
    <n v="80"/>
    <n v="1"/>
    <n v="4"/>
    <n v="2"/>
    <n v="4"/>
    <n v="2"/>
    <n v="2"/>
    <n v="2"/>
  </r>
  <r>
    <x v="1"/>
    <s v="Travel_Frequently"/>
    <x v="0"/>
    <s v="Current Employees"/>
    <x v="1"/>
    <x v="2"/>
    <x v="207"/>
    <n v="286"/>
    <x v="0"/>
    <x v="2"/>
    <x v="0"/>
    <s v="No"/>
    <s v="Y"/>
    <n v="2"/>
    <n v="-2"/>
    <n v="0"/>
    <x v="9"/>
    <x v="1"/>
    <x v="1"/>
    <n v="0"/>
    <n v="1"/>
    <n v="635"/>
    <n v="18"/>
    <x v="1"/>
    <x v="0"/>
    <n v="2"/>
    <n v="73"/>
    <n v="3"/>
    <n v="1"/>
    <n v="4"/>
    <x v="203"/>
    <n v="7703"/>
    <n v="1"/>
    <n v="13"/>
    <n v="3"/>
    <n v="1"/>
    <n v="80"/>
    <n v="0"/>
    <n v="8"/>
    <n v="3"/>
    <n v="8"/>
    <n v="1"/>
    <n v="1"/>
    <n v="7"/>
  </r>
  <r>
    <x v="1"/>
    <s v="Non-Travel"/>
    <x v="0"/>
    <s v="Current Employees"/>
    <x v="1"/>
    <x v="0"/>
    <x v="208"/>
    <n v="287"/>
    <x v="1"/>
    <x v="4"/>
    <x v="1"/>
    <s v="No"/>
    <s v="Y"/>
    <n v="5"/>
    <n v="-2"/>
    <n v="0"/>
    <x v="32"/>
    <x v="1"/>
    <x v="1"/>
    <n v="0"/>
    <n v="1"/>
    <n v="1151"/>
    <n v="9"/>
    <x v="4"/>
    <x v="0"/>
    <n v="4"/>
    <n v="63"/>
    <n v="2"/>
    <n v="2"/>
    <n v="2"/>
    <x v="204"/>
    <n v="14242"/>
    <n v="9"/>
    <n v="14"/>
    <n v="3"/>
    <n v="4"/>
    <n v="80"/>
    <n v="1"/>
    <n v="5"/>
    <n v="1"/>
    <n v="3"/>
    <n v="2"/>
    <n v="0"/>
    <n v="2"/>
  </r>
  <r>
    <x v="1"/>
    <s v="Travel_Rarely"/>
    <x v="1"/>
    <s v="Current Employees"/>
    <x v="1"/>
    <x v="2"/>
    <x v="209"/>
    <n v="288"/>
    <x v="1"/>
    <x v="4"/>
    <x v="2"/>
    <s v="No"/>
    <s v="Y"/>
    <n v="3"/>
    <n v="-2"/>
    <n v="0"/>
    <x v="21"/>
    <x v="1"/>
    <x v="1"/>
    <n v="0"/>
    <n v="1"/>
    <n v="644"/>
    <n v="1"/>
    <x v="2"/>
    <x v="0"/>
    <n v="4"/>
    <n v="97"/>
    <n v="3"/>
    <n v="3"/>
    <n v="3"/>
    <x v="205"/>
    <n v="12368"/>
    <n v="7"/>
    <n v="16"/>
    <n v="3"/>
    <n v="3"/>
    <n v="80"/>
    <n v="1"/>
    <n v="17"/>
    <n v="3"/>
    <n v="4"/>
    <n v="2"/>
    <n v="0"/>
    <n v="3"/>
  </r>
  <r>
    <x v="0"/>
    <s v="Travel_Rarely"/>
    <x v="2"/>
    <s v="Ex-Employees"/>
    <x v="0"/>
    <x v="2"/>
    <x v="210"/>
    <n v="291"/>
    <x v="1"/>
    <x v="0"/>
    <x v="1"/>
    <s v="No"/>
    <s v="Y"/>
    <n v="2"/>
    <n v="-2"/>
    <n v="0"/>
    <x v="5"/>
    <x v="0"/>
    <x v="0"/>
    <n v="1"/>
    <n v="0"/>
    <n v="1045"/>
    <n v="4"/>
    <x v="2"/>
    <x v="0"/>
    <n v="4"/>
    <n v="32"/>
    <n v="1"/>
    <n v="3"/>
    <n v="4"/>
    <x v="206"/>
    <n v="25812"/>
    <n v="1"/>
    <n v="11"/>
    <n v="3"/>
    <n v="3"/>
    <n v="80"/>
    <n v="0"/>
    <n v="14"/>
    <n v="2"/>
    <n v="14"/>
    <n v="8"/>
    <n v="9"/>
    <n v="8"/>
  </r>
  <r>
    <x v="1"/>
    <s v="Non-Travel"/>
    <x v="2"/>
    <s v="Current Employees"/>
    <x v="1"/>
    <x v="0"/>
    <x v="211"/>
    <n v="292"/>
    <x v="1"/>
    <x v="3"/>
    <x v="0"/>
    <s v="No"/>
    <s v="Y"/>
    <n v="2"/>
    <n v="-2"/>
    <n v="0"/>
    <x v="7"/>
    <x v="1"/>
    <x v="1"/>
    <n v="0"/>
    <n v="1"/>
    <n v="829"/>
    <n v="1"/>
    <x v="1"/>
    <x v="0"/>
    <n v="3"/>
    <n v="88"/>
    <n v="2"/>
    <n v="3"/>
    <n v="2"/>
    <x v="207"/>
    <n v="20925"/>
    <n v="1"/>
    <n v="22"/>
    <n v="4"/>
    <n v="3"/>
    <n v="80"/>
    <n v="0"/>
    <n v="12"/>
    <n v="3"/>
    <n v="11"/>
    <n v="8"/>
    <n v="5"/>
    <n v="8"/>
  </r>
  <r>
    <x v="1"/>
    <s v="Travel_Frequently"/>
    <x v="2"/>
    <s v="Current Employees"/>
    <x v="0"/>
    <x v="0"/>
    <x v="212"/>
    <n v="293"/>
    <x v="0"/>
    <x v="0"/>
    <x v="0"/>
    <s v="No"/>
    <s v="Y"/>
    <n v="2"/>
    <n v="-2"/>
    <n v="0"/>
    <x v="4"/>
    <x v="1"/>
    <x v="1"/>
    <n v="0"/>
    <n v="1"/>
    <n v="1242"/>
    <n v="20"/>
    <x v="3"/>
    <x v="0"/>
    <n v="4"/>
    <n v="90"/>
    <n v="3"/>
    <n v="2"/>
    <n v="2"/>
    <x v="208"/>
    <n v="12916"/>
    <n v="1"/>
    <n v="14"/>
    <n v="3"/>
    <n v="4"/>
    <n v="80"/>
    <n v="0"/>
    <n v="7"/>
    <n v="3"/>
    <n v="7"/>
    <n v="7"/>
    <n v="0"/>
    <n v="7"/>
  </r>
  <r>
    <x v="1"/>
    <s v="Travel_Rarely"/>
    <x v="1"/>
    <s v="Current Employees"/>
    <x v="1"/>
    <x v="0"/>
    <x v="213"/>
    <n v="296"/>
    <x v="1"/>
    <x v="7"/>
    <x v="1"/>
    <s v="No"/>
    <s v="Y"/>
    <n v="5"/>
    <n v="-2"/>
    <n v="0"/>
    <x v="31"/>
    <x v="1"/>
    <x v="1"/>
    <n v="0"/>
    <n v="1"/>
    <n v="1469"/>
    <n v="8"/>
    <x v="2"/>
    <x v="0"/>
    <n v="2"/>
    <n v="81"/>
    <n v="2"/>
    <n v="3"/>
    <n v="2"/>
    <x v="209"/>
    <n v="15736"/>
    <n v="5"/>
    <n v="16"/>
    <n v="3"/>
    <n v="4"/>
    <n v="80"/>
    <n v="2"/>
    <n v="16"/>
    <n v="1"/>
    <n v="10"/>
    <n v="9"/>
    <n v="4"/>
    <n v="7"/>
  </r>
  <r>
    <x v="0"/>
    <s v="Travel_Rarely"/>
    <x v="2"/>
    <s v="Ex-Employees"/>
    <x v="1"/>
    <x v="4"/>
    <x v="214"/>
    <n v="297"/>
    <x v="0"/>
    <x v="1"/>
    <x v="0"/>
    <s v="Yes"/>
    <s v="Y"/>
    <n v="5"/>
    <n v="-2"/>
    <n v="0"/>
    <x v="7"/>
    <x v="0"/>
    <x v="0"/>
    <n v="1"/>
    <n v="0"/>
    <n v="1005"/>
    <n v="3"/>
    <x v="3"/>
    <x v="0"/>
    <n v="4"/>
    <n v="88"/>
    <n v="3"/>
    <n v="1"/>
    <n v="4"/>
    <x v="210"/>
    <n v="8556"/>
    <n v="5"/>
    <n v="11"/>
    <n v="3"/>
    <n v="3"/>
    <n v="80"/>
    <n v="0"/>
    <n v="8"/>
    <n v="3"/>
    <n v="5"/>
    <n v="2"/>
    <n v="0"/>
    <n v="4"/>
  </r>
  <r>
    <x v="1"/>
    <s v="Travel_Rarely"/>
    <x v="0"/>
    <s v="Current Employees"/>
    <x v="0"/>
    <x v="0"/>
    <x v="215"/>
    <n v="298"/>
    <x v="0"/>
    <x v="5"/>
    <x v="0"/>
    <s v="Yes"/>
    <s v="Y"/>
    <n v="3"/>
    <n v="-2"/>
    <n v="0"/>
    <x v="0"/>
    <x v="1"/>
    <x v="1"/>
    <n v="0"/>
    <n v="1"/>
    <n v="896"/>
    <n v="6"/>
    <x v="3"/>
    <x v="0"/>
    <n v="4"/>
    <n v="75"/>
    <n v="3"/>
    <n v="3"/>
    <n v="2"/>
    <x v="211"/>
    <n v="14674"/>
    <n v="3"/>
    <n v="18"/>
    <n v="3"/>
    <n v="3"/>
    <n v="80"/>
    <n v="0"/>
    <n v="16"/>
    <n v="3"/>
    <n v="1"/>
    <n v="0"/>
    <n v="0"/>
    <n v="0"/>
  </r>
  <r>
    <x v="0"/>
    <s v="Travel_Frequently"/>
    <x v="2"/>
    <s v="Ex-Employees"/>
    <x v="0"/>
    <x v="3"/>
    <x v="216"/>
    <n v="299"/>
    <x v="0"/>
    <x v="0"/>
    <x v="0"/>
    <s v="No"/>
    <s v="Y"/>
    <n v="5"/>
    <n v="-2"/>
    <n v="0"/>
    <x v="7"/>
    <x v="0"/>
    <x v="0"/>
    <n v="1"/>
    <n v="0"/>
    <n v="334"/>
    <n v="26"/>
    <x v="2"/>
    <x v="0"/>
    <n v="3"/>
    <n v="52"/>
    <n v="2"/>
    <n v="2"/>
    <n v="3"/>
    <x v="212"/>
    <n v="22967"/>
    <n v="5"/>
    <n v="15"/>
    <n v="3"/>
    <n v="3"/>
    <n v="80"/>
    <n v="0"/>
    <n v="9"/>
    <n v="2"/>
    <n v="6"/>
    <n v="3"/>
    <n v="0"/>
    <n v="1"/>
  </r>
  <r>
    <x v="0"/>
    <s v="Travel_Rarely"/>
    <x v="2"/>
    <s v="Ex-Employees"/>
    <x v="1"/>
    <x v="4"/>
    <x v="217"/>
    <n v="300"/>
    <x v="1"/>
    <x v="1"/>
    <x v="0"/>
    <s v="No"/>
    <s v="Y"/>
    <n v="1"/>
    <n v="-2"/>
    <n v="0"/>
    <x v="11"/>
    <x v="0"/>
    <x v="0"/>
    <n v="1"/>
    <n v="0"/>
    <n v="992"/>
    <n v="1"/>
    <x v="3"/>
    <x v="0"/>
    <n v="3"/>
    <n v="85"/>
    <n v="3"/>
    <n v="1"/>
    <n v="4"/>
    <x v="213"/>
    <n v="19757"/>
    <n v="0"/>
    <n v="14"/>
    <n v="3"/>
    <n v="4"/>
    <n v="80"/>
    <n v="0"/>
    <n v="7"/>
    <n v="2"/>
    <n v="6"/>
    <n v="2"/>
    <n v="1"/>
    <n v="5"/>
  </r>
  <r>
    <x v="1"/>
    <s v="Non-Travel"/>
    <x v="1"/>
    <s v="Current Employees"/>
    <x v="0"/>
    <x v="2"/>
    <x v="218"/>
    <n v="302"/>
    <x v="0"/>
    <x v="0"/>
    <x v="0"/>
    <s v="No"/>
    <s v="Y"/>
    <n v="2"/>
    <n v="-2"/>
    <n v="0"/>
    <x v="28"/>
    <x v="1"/>
    <x v="1"/>
    <n v="0"/>
    <n v="1"/>
    <n v="1052"/>
    <n v="6"/>
    <x v="3"/>
    <x v="0"/>
    <n v="4"/>
    <n v="57"/>
    <n v="2"/>
    <n v="3"/>
    <n v="4"/>
    <x v="214"/>
    <n v="16840"/>
    <n v="6"/>
    <n v="12"/>
    <n v="3"/>
    <n v="4"/>
    <n v="80"/>
    <n v="0"/>
    <n v="23"/>
    <n v="3"/>
    <n v="19"/>
    <n v="7"/>
    <n v="12"/>
    <n v="8"/>
  </r>
  <r>
    <x v="1"/>
    <s v="Travel_Rarely"/>
    <x v="1"/>
    <s v="Current Employees"/>
    <x v="0"/>
    <x v="3"/>
    <x v="219"/>
    <n v="303"/>
    <x v="0"/>
    <x v="0"/>
    <x v="1"/>
    <s v="No"/>
    <s v="Y"/>
    <n v="4"/>
    <n v="-2"/>
    <n v="0"/>
    <x v="33"/>
    <x v="1"/>
    <x v="1"/>
    <n v="0"/>
    <n v="1"/>
    <n v="1147"/>
    <n v="3"/>
    <x v="3"/>
    <x v="0"/>
    <n v="4"/>
    <n v="52"/>
    <n v="3"/>
    <n v="2"/>
    <n v="1"/>
    <x v="215"/>
    <n v="17011"/>
    <n v="2"/>
    <n v="14"/>
    <n v="3"/>
    <n v="4"/>
    <n v="80"/>
    <n v="1"/>
    <n v="16"/>
    <n v="3"/>
    <n v="6"/>
    <n v="2"/>
    <n v="0"/>
    <n v="5"/>
  </r>
  <r>
    <x v="1"/>
    <s v="Travel_Rarely"/>
    <x v="0"/>
    <s v="Current Employees"/>
    <x v="1"/>
    <x v="0"/>
    <x v="220"/>
    <n v="304"/>
    <x v="1"/>
    <x v="2"/>
    <x v="0"/>
    <s v="No"/>
    <s v="Y"/>
    <n v="3"/>
    <n v="-2"/>
    <n v="0"/>
    <x v="9"/>
    <x v="1"/>
    <x v="1"/>
    <n v="0"/>
    <n v="1"/>
    <n v="1396"/>
    <n v="5"/>
    <x v="0"/>
    <x v="0"/>
    <n v="4"/>
    <n v="62"/>
    <n v="3"/>
    <n v="2"/>
    <n v="2"/>
    <x v="216"/>
    <n v="9945"/>
    <n v="8"/>
    <n v="16"/>
    <n v="3"/>
    <n v="4"/>
    <n v="80"/>
    <n v="0"/>
    <n v="16"/>
    <n v="4"/>
    <n v="13"/>
    <n v="11"/>
    <n v="3"/>
    <n v="7"/>
  </r>
  <r>
    <x v="1"/>
    <s v="Travel_Rarely"/>
    <x v="2"/>
    <s v="Current Employees"/>
    <x v="1"/>
    <x v="2"/>
    <x v="221"/>
    <n v="305"/>
    <x v="0"/>
    <x v="1"/>
    <x v="1"/>
    <s v="No"/>
    <s v="Y"/>
    <n v="3"/>
    <n v="-2"/>
    <n v="0"/>
    <x v="3"/>
    <x v="1"/>
    <x v="1"/>
    <n v="0"/>
    <n v="1"/>
    <n v="147"/>
    <n v="4"/>
    <x v="2"/>
    <x v="0"/>
    <n v="3"/>
    <n v="47"/>
    <n v="2"/>
    <n v="1"/>
    <n v="3"/>
    <x v="217"/>
    <n v="13248"/>
    <n v="6"/>
    <n v="21"/>
    <n v="4"/>
    <n v="4"/>
    <n v="80"/>
    <n v="0"/>
    <n v="7"/>
    <n v="3"/>
    <n v="3"/>
    <n v="2"/>
    <n v="1"/>
    <n v="1"/>
  </r>
  <r>
    <x v="1"/>
    <s v="Travel_Frequently"/>
    <x v="0"/>
    <s v="Current Employees"/>
    <x v="1"/>
    <x v="1"/>
    <x v="222"/>
    <n v="306"/>
    <x v="1"/>
    <x v="7"/>
    <x v="2"/>
    <s v="Yes"/>
    <s v="Y"/>
    <n v="1"/>
    <n v="-2"/>
    <n v="0"/>
    <x v="2"/>
    <x v="1"/>
    <x v="1"/>
    <n v="0"/>
    <n v="1"/>
    <n v="663"/>
    <n v="11"/>
    <x v="3"/>
    <x v="0"/>
    <n v="2"/>
    <n v="47"/>
    <n v="3"/>
    <n v="3"/>
    <n v="4"/>
    <x v="218"/>
    <n v="10056"/>
    <n v="1"/>
    <n v="14"/>
    <n v="3"/>
    <n v="3"/>
    <n v="80"/>
    <n v="3"/>
    <n v="10"/>
    <n v="3"/>
    <n v="10"/>
    <n v="8"/>
    <n v="0"/>
    <n v="7"/>
  </r>
  <r>
    <x v="1"/>
    <s v="Travel_Rarely"/>
    <x v="0"/>
    <s v="Current Employees"/>
    <x v="0"/>
    <x v="0"/>
    <x v="223"/>
    <n v="307"/>
    <x v="1"/>
    <x v="0"/>
    <x v="2"/>
    <s v="No"/>
    <s v="Y"/>
    <n v="6"/>
    <n v="-2"/>
    <n v="0"/>
    <x v="8"/>
    <x v="1"/>
    <x v="1"/>
    <n v="0"/>
    <n v="1"/>
    <n v="119"/>
    <n v="3"/>
    <x v="3"/>
    <x v="0"/>
    <n v="1"/>
    <n v="76"/>
    <n v="3"/>
    <n v="3"/>
    <n v="2"/>
    <x v="219"/>
    <n v="9647"/>
    <n v="0"/>
    <n v="12"/>
    <n v="3"/>
    <n v="3"/>
    <n v="80"/>
    <n v="2"/>
    <n v="17"/>
    <n v="2"/>
    <n v="16"/>
    <n v="10"/>
    <n v="5"/>
    <n v="13"/>
  </r>
  <r>
    <x v="1"/>
    <s v="Non-Travel"/>
    <x v="2"/>
    <s v="Current Employees"/>
    <x v="1"/>
    <x v="2"/>
    <x v="224"/>
    <n v="308"/>
    <x v="1"/>
    <x v="3"/>
    <x v="1"/>
    <s v="No"/>
    <s v="Y"/>
    <n v="2"/>
    <n v="-2"/>
    <n v="0"/>
    <x v="12"/>
    <x v="1"/>
    <x v="1"/>
    <n v="0"/>
    <n v="1"/>
    <n v="979"/>
    <n v="1"/>
    <x v="2"/>
    <x v="0"/>
    <n v="3"/>
    <n v="90"/>
    <n v="1"/>
    <n v="2"/>
    <n v="3"/>
    <x v="220"/>
    <n v="4381"/>
    <n v="0"/>
    <n v="12"/>
    <n v="3"/>
    <n v="4"/>
    <n v="80"/>
    <n v="1"/>
    <n v="6"/>
    <n v="3"/>
    <n v="5"/>
    <n v="4"/>
    <n v="1"/>
    <n v="4"/>
  </r>
  <r>
    <x v="1"/>
    <s v="Travel_Rarely"/>
    <x v="3"/>
    <s v="Current Employees"/>
    <x v="1"/>
    <x v="0"/>
    <x v="225"/>
    <n v="309"/>
    <x v="1"/>
    <x v="1"/>
    <x v="1"/>
    <s v="No"/>
    <s v="Y"/>
    <n v="6"/>
    <n v="-2"/>
    <n v="0"/>
    <x v="6"/>
    <x v="1"/>
    <x v="1"/>
    <n v="0"/>
    <n v="1"/>
    <n v="142"/>
    <n v="3"/>
    <x v="3"/>
    <x v="0"/>
    <n v="3"/>
    <n v="70"/>
    <n v="2"/>
    <n v="1"/>
    <n v="2"/>
    <x v="221"/>
    <n v="8456"/>
    <n v="3"/>
    <n v="17"/>
    <n v="3"/>
    <n v="1"/>
    <n v="80"/>
    <n v="1"/>
    <n v="7"/>
    <n v="3"/>
    <n v="1"/>
    <n v="0"/>
    <n v="0"/>
    <n v="0"/>
  </r>
  <r>
    <x v="1"/>
    <s v="Travel_Frequently"/>
    <x v="0"/>
    <s v="Current Employees"/>
    <x v="0"/>
    <x v="3"/>
    <x v="226"/>
    <n v="311"/>
    <x v="1"/>
    <x v="6"/>
    <x v="2"/>
    <s v="No"/>
    <s v="Y"/>
    <n v="2"/>
    <n v="-2"/>
    <n v="0"/>
    <x v="2"/>
    <x v="1"/>
    <x v="1"/>
    <n v="0"/>
    <n v="1"/>
    <n v="319"/>
    <n v="4"/>
    <x v="2"/>
    <x v="0"/>
    <n v="1"/>
    <n v="41"/>
    <n v="3"/>
    <n v="1"/>
    <n v="1"/>
    <x v="222"/>
    <n v="2539"/>
    <n v="4"/>
    <n v="17"/>
    <n v="3"/>
    <n v="3"/>
    <n v="80"/>
    <n v="1"/>
    <n v="13"/>
    <n v="3"/>
    <n v="9"/>
    <n v="8"/>
    <n v="5"/>
    <n v="8"/>
  </r>
  <r>
    <x v="1"/>
    <s v="Travel_Frequently"/>
    <x v="2"/>
    <s v="Current Employees"/>
    <x v="0"/>
    <x v="2"/>
    <x v="227"/>
    <n v="312"/>
    <x v="0"/>
    <x v="0"/>
    <x v="1"/>
    <s v="No"/>
    <s v="Y"/>
    <n v="5"/>
    <n v="-2"/>
    <n v="0"/>
    <x v="11"/>
    <x v="1"/>
    <x v="1"/>
    <n v="0"/>
    <n v="1"/>
    <n v="1413"/>
    <n v="1"/>
    <x v="1"/>
    <x v="0"/>
    <n v="2"/>
    <n v="42"/>
    <n v="3"/>
    <n v="3"/>
    <n v="4"/>
    <x v="223"/>
    <n v="6599"/>
    <n v="1"/>
    <n v="14"/>
    <n v="3"/>
    <n v="4"/>
    <n v="80"/>
    <n v="1"/>
    <n v="11"/>
    <n v="3"/>
    <n v="11"/>
    <n v="10"/>
    <n v="4"/>
    <n v="1"/>
  </r>
  <r>
    <x v="1"/>
    <s v="Travel_Frequently"/>
    <x v="0"/>
    <s v="Current Employees"/>
    <x v="0"/>
    <x v="3"/>
    <x v="228"/>
    <n v="314"/>
    <x v="0"/>
    <x v="0"/>
    <x v="0"/>
    <s v="No"/>
    <s v="Y"/>
    <n v="3"/>
    <n v="-2"/>
    <n v="0"/>
    <x v="10"/>
    <x v="1"/>
    <x v="1"/>
    <n v="0"/>
    <n v="1"/>
    <n v="944"/>
    <n v="1"/>
    <x v="3"/>
    <x v="0"/>
    <n v="3"/>
    <n v="92"/>
    <n v="3"/>
    <n v="3"/>
    <n v="1"/>
    <x v="224"/>
    <n v="9096"/>
    <n v="1"/>
    <n v="14"/>
    <n v="3"/>
    <n v="1"/>
    <n v="80"/>
    <n v="0"/>
    <n v="10"/>
    <n v="4"/>
    <n v="10"/>
    <n v="7"/>
    <n v="0"/>
    <n v="8"/>
  </r>
  <r>
    <x v="0"/>
    <s v="Travel_Rarely"/>
    <x v="2"/>
    <s v="Ex-Employees"/>
    <x v="1"/>
    <x v="2"/>
    <x v="229"/>
    <n v="315"/>
    <x v="1"/>
    <x v="1"/>
    <x v="0"/>
    <s v="Yes"/>
    <s v="Y"/>
    <n v="3"/>
    <n v="-2"/>
    <n v="0"/>
    <x v="11"/>
    <x v="0"/>
    <x v="0"/>
    <n v="1"/>
    <n v="0"/>
    <n v="896"/>
    <n v="18"/>
    <x v="1"/>
    <x v="0"/>
    <n v="3"/>
    <n v="86"/>
    <n v="2"/>
    <n v="1"/>
    <n v="4"/>
    <x v="225"/>
    <n v="14961"/>
    <n v="1"/>
    <n v="13"/>
    <n v="3"/>
    <n v="3"/>
    <n v="80"/>
    <n v="0"/>
    <n v="4"/>
    <n v="2"/>
    <n v="4"/>
    <n v="3"/>
    <n v="0"/>
    <n v="1"/>
  </r>
  <r>
    <x v="1"/>
    <s v="Travel_Rarely"/>
    <x v="1"/>
    <s v="Current Employees"/>
    <x v="1"/>
    <x v="0"/>
    <x v="230"/>
    <n v="316"/>
    <x v="0"/>
    <x v="2"/>
    <x v="0"/>
    <s v="No"/>
    <s v="Y"/>
    <n v="3"/>
    <n v="-2"/>
    <n v="0"/>
    <x v="39"/>
    <x v="1"/>
    <x v="1"/>
    <n v="0"/>
    <n v="1"/>
    <n v="1323"/>
    <n v="2"/>
    <x v="3"/>
    <x v="0"/>
    <n v="3"/>
    <n v="89"/>
    <n v="2"/>
    <n v="1"/>
    <n v="2"/>
    <x v="226"/>
    <n v="3300"/>
    <n v="7"/>
    <n v="15"/>
    <n v="3"/>
    <n v="2"/>
    <n v="80"/>
    <n v="0"/>
    <n v="6"/>
    <n v="2"/>
    <n v="2"/>
    <n v="2"/>
    <n v="2"/>
    <n v="2"/>
  </r>
  <r>
    <x v="1"/>
    <s v="Travel_Rarely"/>
    <x v="0"/>
    <s v="Current Employees"/>
    <x v="1"/>
    <x v="4"/>
    <x v="231"/>
    <n v="319"/>
    <x v="1"/>
    <x v="5"/>
    <x v="1"/>
    <s v="No"/>
    <s v="Y"/>
    <n v="3"/>
    <n v="-2"/>
    <n v="0"/>
    <x v="19"/>
    <x v="1"/>
    <x v="1"/>
    <n v="0"/>
    <n v="1"/>
    <n v="532"/>
    <n v="4"/>
    <x v="0"/>
    <x v="0"/>
    <n v="3"/>
    <n v="58"/>
    <n v="3"/>
    <n v="5"/>
    <n v="4"/>
    <x v="227"/>
    <n v="4933"/>
    <n v="1"/>
    <n v="11"/>
    <n v="3"/>
    <n v="4"/>
    <n v="80"/>
    <n v="0"/>
    <n v="22"/>
    <n v="3"/>
    <n v="22"/>
    <n v="17"/>
    <n v="11"/>
    <n v="15"/>
  </r>
  <r>
    <x v="1"/>
    <s v="Travel_Rarely"/>
    <x v="3"/>
    <s v="Current Employees"/>
    <x v="2"/>
    <x v="2"/>
    <x v="232"/>
    <n v="321"/>
    <x v="1"/>
    <x v="8"/>
    <x v="1"/>
    <s v="No"/>
    <s v="Y"/>
    <n v="2"/>
    <n v="-2"/>
    <n v="0"/>
    <x v="6"/>
    <x v="1"/>
    <x v="1"/>
    <n v="0"/>
    <n v="1"/>
    <n v="818"/>
    <n v="6"/>
    <x v="0"/>
    <x v="0"/>
    <n v="2"/>
    <n v="52"/>
    <n v="3"/>
    <n v="1"/>
    <n v="3"/>
    <x v="228"/>
    <n v="25657"/>
    <n v="8"/>
    <n v="17"/>
    <n v="3"/>
    <n v="4"/>
    <n v="80"/>
    <n v="0"/>
    <n v="7"/>
    <n v="2"/>
    <n v="2"/>
    <n v="2"/>
    <n v="2"/>
    <n v="2"/>
  </r>
  <r>
    <x v="1"/>
    <s v="Travel_Rarely"/>
    <x v="1"/>
    <s v="Current Employees"/>
    <x v="0"/>
    <x v="2"/>
    <x v="233"/>
    <n v="323"/>
    <x v="0"/>
    <x v="5"/>
    <x v="2"/>
    <s v="No"/>
    <s v="Y"/>
    <n v="3"/>
    <n v="-2"/>
    <n v="0"/>
    <x v="24"/>
    <x v="1"/>
    <x v="1"/>
    <n v="0"/>
    <n v="1"/>
    <n v="854"/>
    <n v="1"/>
    <x v="2"/>
    <x v="0"/>
    <n v="4"/>
    <n v="68"/>
    <n v="3"/>
    <n v="5"/>
    <n v="4"/>
    <x v="229"/>
    <n v="24118"/>
    <n v="3"/>
    <n v="11"/>
    <n v="3"/>
    <n v="3"/>
    <n v="80"/>
    <n v="1"/>
    <n v="32"/>
    <n v="2"/>
    <n v="7"/>
    <n v="0"/>
    <n v="0"/>
    <n v="6"/>
  </r>
  <r>
    <x v="0"/>
    <s v="Travel_Rarely"/>
    <x v="2"/>
    <s v="Ex-Employees"/>
    <x v="1"/>
    <x v="2"/>
    <x v="234"/>
    <n v="325"/>
    <x v="1"/>
    <x v="2"/>
    <x v="1"/>
    <s v="Yes"/>
    <s v="Y"/>
    <n v="2"/>
    <n v="-2"/>
    <n v="0"/>
    <x v="3"/>
    <x v="0"/>
    <x v="0"/>
    <n v="1"/>
    <n v="0"/>
    <n v="813"/>
    <n v="14"/>
    <x v="3"/>
    <x v="0"/>
    <n v="3"/>
    <n v="58"/>
    <n v="3"/>
    <n v="1"/>
    <n v="4"/>
    <x v="230"/>
    <n v="22149"/>
    <n v="5"/>
    <n v="13"/>
    <n v="3"/>
    <n v="3"/>
    <n v="80"/>
    <n v="1"/>
    <n v="8"/>
    <n v="1"/>
    <n v="5"/>
    <n v="4"/>
    <n v="0"/>
    <n v="4"/>
  </r>
  <r>
    <x v="1"/>
    <s v="Travel_Rarely"/>
    <x v="0"/>
    <s v="Current Employees"/>
    <x v="0"/>
    <x v="3"/>
    <x v="235"/>
    <n v="327"/>
    <x v="0"/>
    <x v="5"/>
    <x v="1"/>
    <s v="Yes"/>
    <s v="Y"/>
    <n v="3"/>
    <n v="-2"/>
    <n v="0"/>
    <x v="23"/>
    <x v="1"/>
    <x v="1"/>
    <n v="0"/>
    <n v="1"/>
    <n v="1034"/>
    <n v="16"/>
    <x v="3"/>
    <x v="0"/>
    <n v="4"/>
    <n v="80"/>
    <n v="3"/>
    <n v="4"/>
    <n v="1"/>
    <x v="231"/>
    <n v="7744"/>
    <n v="5"/>
    <n v="22"/>
    <n v="4"/>
    <n v="3"/>
    <n v="80"/>
    <n v="1"/>
    <n v="22"/>
    <n v="3"/>
    <n v="17"/>
    <n v="13"/>
    <n v="1"/>
    <n v="9"/>
  </r>
  <r>
    <x v="0"/>
    <s v="Travel_Rarely"/>
    <x v="2"/>
    <s v="Ex-Employees"/>
    <x v="1"/>
    <x v="0"/>
    <x v="236"/>
    <n v="328"/>
    <x v="0"/>
    <x v="2"/>
    <x v="1"/>
    <s v="No"/>
    <s v="Y"/>
    <n v="3"/>
    <n v="-2"/>
    <n v="0"/>
    <x v="3"/>
    <x v="0"/>
    <x v="0"/>
    <n v="1"/>
    <n v="0"/>
    <n v="465"/>
    <n v="2"/>
    <x v="0"/>
    <x v="0"/>
    <n v="1"/>
    <n v="39"/>
    <n v="3"/>
    <n v="1"/>
    <n v="2"/>
    <x v="232"/>
    <n v="21509"/>
    <n v="7"/>
    <n v="20"/>
    <n v="4"/>
    <n v="1"/>
    <n v="80"/>
    <n v="0"/>
    <n v="13"/>
    <n v="4"/>
    <n v="9"/>
    <n v="7"/>
    <n v="1"/>
    <n v="7"/>
  </r>
  <r>
    <x v="1"/>
    <s v="Non-Travel"/>
    <x v="1"/>
    <s v="Current Employees"/>
    <x v="0"/>
    <x v="0"/>
    <x v="237"/>
    <n v="329"/>
    <x v="1"/>
    <x v="5"/>
    <x v="0"/>
    <s v="Yes"/>
    <s v="Y"/>
    <n v="2"/>
    <n v="-2"/>
    <n v="0"/>
    <x v="39"/>
    <x v="1"/>
    <x v="1"/>
    <n v="0"/>
    <n v="1"/>
    <n v="771"/>
    <n v="2"/>
    <x v="2"/>
    <x v="0"/>
    <n v="1"/>
    <n v="79"/>
    <n v="2"/>
    <n v="5"/>
    <n v="2"/>
    <x v="233"/>
    <n v="21030"/>
    <n v="1"/>
    <n v="18"/>
    <n v="3"/>
    <n v="4"/>
    <n v="80"/>
    <n v="0"/>
    <n v="33"/>
    <n v="4"/>
    <n v="33"/>
    <n v="7"/>
    <n v="15"/>
    <n v="12"/>
  </r>
  <r>
    <x v="1"/>
    <s v="Travel_Rarely"/>
    <x v="2"/>
    <s v="Current Employees"/>
    <x v="0"/>
    <x v="0"/>
    <x v="238"/>
    <n v="330"/>
    <x v="0"/>
    <x v="6"/>
    <x v="1"/>
    <s v="No"/>
    <s v="Y"/>
    <n v="5"/>
    <n v="-2"/>
    <n v="0"/>
    <x v="5"/>
    <x v="1"/>
    <x v="1"/>
    <n v="0"/>
    <n v="1"/>
    <n v="1401"/>
    <n v="4"/>
    <x v="0"/>
    <x v="0"/>
    <n v="3"/>
    <n v="56"/>
    <n v="3"/>
    <n v="1"/>
    <n v="2"/>
    <x v="234"/>
    <n v="20990"/>
    <n v="2"/>
    <n v="11"/>
    <n v="3"/>
    <n v="1"/>
    <n v="80"/>
    <n v="1"/>
    <n v="6"/>
    <n v="3"/>
    <n v="4"/>
    <n v="3"/>
    <n v="1"/>
    <n v="2"/>
  </r>
  <r>
    <x v="0"/>
    <s v="Travel_Rarely"/>
    <x v="2"/>
    <s v="Ex-Employees"/>
    <x v="1"/>
    <x v="0"/>
    <x v="239"/>
    <n v="331"/>
    <x v="1"/>
    <x v="2"/>
    <x v="0"/>
    <s v="Yes"/>
    <s v="Y"/>
    <n v="2"/>
    <n v="-2"/>
    <n v="0"/>
    <x v="5"/>
    <x v="0"/>
    <x v="0"/>
    <n v="1"/>
    <n v="0"/>
    <n v="515"/>
    <n v="1"/>
    <x v="3"/>
    <x v="0"/>
    <n v="4"/>
    <n v="62"/>
    <n v="2"/>
    <n v="1"/>
    <n v="2"/>
    <x v="235"/>
    <n v="9571"/>
    <n v="0"/>
    <n v="14"/>
    <n v="3"/>
    <n v="4"/>
    <n v="80"/>
    <n v="0"/>
    <n v="4"/>
    <n v="1"/>
    <n v="3"/>
    <n v="2"/>
    <n v="1"/>
    <n v="2"/>
  </r>
  <r>
    <x v="1"/>
    <s v="Travel_Rarely"/>
    <x v="0"/>
    <s v="Current Employees"/>
    <x v="1"/>
    <x v="2"/>
    <x v="240"/>
    <n v="332"/>
    <x v="0"/>
    <x v="2"/>
    <x v="2"/>
    <s v="No"/>
    <s v="Y"/>
    <n v="1"/>
    <n v="-2"/>
    <n v="0"/>
    <x v="22"/>
    <x v="1"/>
    <x v="1"/>
    <n v="0"/>
    <n v="1"/>
    <n v="1431"/>
    <n v="1"/>
    <x v="2"/>
    <x v="0"/>
    <n v="3"/>
    <n v="96"/>
    <n v="3"/>
    <n v="1"/>
    <n v="3"/>
    <x v="236"/>
    <n v="15417"/>
    <n v="7"/>
    <n v="14"/>
    <n v="3"/>
    <n v="3"/>
    <n v="80"/>
    <n v="3"/>
    <n v="7"/>
    <n v="3"/>
    <n v="3"/>
    <n v="2"/>
    <n v="1"/>
    <n v="2"/>
  </r>
  <r>
    <x v="1"/>
    <s v="Non-Travel"/>
    <x v="2"/>
    <s v="Current Employees"/>
    <x v="0"/>
    <x v="3"/>
    <x v="241"/>
    <n v="333"/>
    <x v="1"/>
    <x v="0"/>
    <x v="1"/>
    <s v="No"/>
    <s v="Y"/>
    <n v="2"/>
    <n v="-2"/>
    <n v="0"/>
    <x v="5"/>
    <x v="1"/>
    <x v="1"/>
    <n v="0"/>
    <n v="1"/>
    <n v="976"/>
    <n v="26"/>
    <x v="2"/>
    <x v="0"/>
    <n v="3"/>
    <n v="100"/>
    <n v="3"/>
    <n v="2"/>
    <n v="1"/>
    <x v="237"/>
    <n v="12069"/>
    <n v="0"/>
    <n v="18"/>
    <n v="3"/>
    <n v="1"/>
    <n v="80"/>
    <n v="0"/>
    <n v="4"/>
    <n v="3"/>
    <n v="3"/>
    <n v="2"/>
    <n v="2"/>
    <n v="2"/>
  </r>
  <r>
    <x v="1"/>
    <s v="Travel_Rarely"/>
    <x v="0"/>
    <s v="Current Employees"/>
    <x v="1"/>
    <x v="0"/>
    <x v="242"/>
    <n v="334"/>
    <x v="1"/>
    <x v="1"/>
    <x v="2"/>
    <s v="No"/>
    <s v="Y"/>
    <n v="2"/>
    <n v="-2"/>
    <n v="0"/>
    <x v="0"/>
    <x v="1"/>
    <x v="1"/>
    <n v="0"/>
    <n v="1"/>
    <n v="1411"/>
    <n v="19"/>
    <x v="0"/>
    <x v="0"/>
    <n v="3"/>
    <n v="36"/>
    <n v="3"/>
    <n v="2"/>
    <n v="2"/>
    <x v="169"/>
    <n v="19877"/>
    <n v="2"/>
    <n v="16"/>
    <n v="3"/>
    <n v="1"/>
    <n v="80"/>
    <n v="2"/>
    <n v="17"/>
    <n v="2"/>
    <n v="1"/>
    <n v="0"/>
    <n v="0"/>
    <n v="0"/>
  </r>
  <r>
    <x v="1"/>
    <s v="Travel_Rarely"/>
    <x v="0"/>
    <s v="Current Employees"/>
    <x v="1"/>
    <x v="4"/>
    <x v="243"/>
    <n v="335"/>
    <x v="1"/>
    <x v="1"/>
    <x v="2"/>
    <s v="No"/>
    <s v="Y"/>
    <n v="3"/>
    <n v="-2"/>
    <n v="0"/>
    <x v="32"/>
    <x v="1"/>
    <x v="1"/>
    <n v="0"/>
    <n v="1"/>
    <n v="1300"/>
    <n v="24"/>
    <x v="0"/>
    <x v="0"/>
    <n v="4"/>
    <n v="62"/>
    <n v="3"/>
    <n v="2"/>
    <n v="4"/>
    <x v="238"/>
    <n v="24447"/>
    <n v="1"/>
    <n v="17"/>
    <n v="3"/>
    <n v="1"/>
    <n v="80"/>
    <n v="2"/>
    <n v="9"/>
    <n v="3"/>
    <n v="9"/>
    <n v="8"/>
    <n v="4"/>
    <n v="7"/>
  </r>
  <r>
    <x v="1"/>
    <s v="Travel_Rarely"/>
    <x v="1"/>
    <s v="Current Employees"/>
    <x v="1"/>
    <x v="1"/>
    <x v="244"/>
    <n v="336"/>
    <x v="1"/>
    <x v="5"/>
    <x v="1"/>
    <s v="No"/>
    <s v="Y"/>
    <n v="2"/>
    <n v="-2"/>
    <n v="0"/>
    <x v="28"/>
    <x v="1"/>
    <x v="1"/>
    <n v="0"/>
    <n v="1"/>
    <n v="252"/>
    <n v="1"/>
    <x v="3"/>
    <x v="0"/>
    <n v="3"/>
    <n v="70"/>
    <n v="4"/>
    <n v="5"/>
    <n v="4"/>
    <x v="239"/>
    <n v="15970"/>
    <n v="0"/>
    <n v="11"/>
    <n v="3"/>
    <n v="3"/>
    <n v="80"/>
    <n v="1"/>
    <n v="25"/>
    <n v="3"/>
    <n v="24"/>
    <n v="0"/>
    <n v="1"/>
    <n v="7"/>
  </r>
  <r>
    <x v="1"/>
    <s v="Travel_Frequently"/>
    <x v="2"/>
    <s v="Current Employees"/>
    <x v="1"/>
    <x v="2"/>
    <x v="245"/>
    <n v="337"/>
    <x v="1"/>
    <x v="7"/>
    <x v="2"/>
    <s v="No"/>
    <s v="Y"/>
    <n v="3"/>
    <n v="-2"/>
    <n v="0"/>
    <x v="12"/>
    <x v="1"/>
    <x v="1"/>
    <n v="0"/>
    <n v="1"/>
    <n v="1327"/>
    <n v="3"/>
    <x v="2"/>
    <x v="0"/>
    <n v="2"/>
    <n v="73"/>
    <n v="3"/>
    <n v="3"/>
    <n v="3"/>
    <x v="240"/>
    <n v="13523"/>
    <n v="9"/>
    <n v="12"/>
    <n v="3"/>
    <n v="1"/>
    <n v="80"/>
    <n v="1"/>
    <n v="9"/>
    <n v="3"/>
    <n v="2"/>
    <n v="2"/>
    <n v="2"/>
    <n v="2"/>
  </r>
  <r>
    <x v="1"/>
    <s v="Travel_Rarely"/>
    <x v="2"/>
    <s v="Current Employees"/>
    <x v="1"/>
    <x v="0"/>
    <x v="246"/>
    <n v="338"/>
    <x v="0"/>
    <x v="1"/>
    <x v="1"/>
    <s v="No"/>
    <s v="Y"/>
    <n v="2"/>
    <n v="-2"/>
    <n v="0"/>
    <x v="3"/>
    <x v="1"/>
    <x v="1"/>
    <n v="0"/>
    <n v="1"/>
    <n v="832"/>
    <n v="5"/>
    <x v="2"/>
    <x v="0"/>
    <n v="3"/>
    <n v="63"/>
    <n v="2"/>
    <n v="1"/>
    <n v="2"/>
    <x v="12"/>
    <n v="14776"/>
    <n v="1"/>
    <n v="13"/>
    <n v="3"/>
    <n v="3"/>
    <n v="80"/>
    <n v="1"/>
    <n v="2"/>
    <n v="2"/>
    <n v="2"/>
    <n v="2"/>
    <n v="0"/>
    <n v="2"/>
  </r>
  <r>
    <x v="1"/>
    <s v="Travel_Rarely"/>
    <x v="2"/>
    <s v="Current Employees"/>
    <x v="1"/>
    <x v="0"/>
    <x v="247"/>
    <n v="339"/>
    <x v="1"/>
    <x v="3"/>
    <x v="1"/>
    <s v="No"/>
    <s v="Y"/>
    <n v="3"/>
    <n v="-2"/>
    <n v="0"/>
    <x v="13"/>
    <x v="1"/>
    <x v="1"/>
    <n v="0"/>
    <n v="1"/>
    <n v="470"/>
    <n v="2"/>
    <x v="2"/>
    <x v="0"/>
    <n v="4"/>
    <n v="84"/>
    <n v="2"/>
    <n v="2"/>
    <n v="2"/>
    <x v="241"/>
    <n v="23687"/>
    <n v="6"/>
    <n v="13"/>
    <n v="3"/>
    <n v="2"/>
    <n v="80"/>
    <n v="1"/>
    <n v="13"/>
    <n v="3"/>
    <n v="11"/>
    <n v="9"/>
    <n v="5"/>
    <n v="9"/>
  </r>
  <r>
    <x v="1"/>
    <s v="Travel_Rarely"/>
    <x v="0"/>
    <s v="Current Employees"/>
    <x v="1"/>
    <x v="2"/>
    <x v="248"/>
    <n v="340"/>
    <x v="0"/>
    <x v="1"/>
    <x v="1"/>
    <s v="No"/>
    <s v="Y"/>
    <n v="2"/>
    <n v="-2"/>
    <n v="0"/>
    <x v="2"/>
    <x v="1"/>
    <x v="1"/>
    <n v="0"/>
    <n v="1"/>
    <n v="1017"/>
    <n v="1"/>
    <x v="0"/>
    <x v="0"/>
    <n v="3"/>
    <n v="83"/>
    <n v="2"/>
    <n v="1"/>
    <n v="3"/>
    <x v="242"/>
    <n v="18697"/>
    <n v="2"/>
    <n v="14"/>
    <n v="3"/>
    <n v="1"/>
    <n v="80"/>
    <n v="1"/>
    <n v="17"/>
    <n v="2"/>
    <n v="3"/>
    <n v="1"/>
    <n v="0"/>
    <n v="2"/>
  </r>
  <r>
    <x v="1"/>
    <s v="Travel_Frequently"/>
    <x v="1"/>
    <s v="Current Employees"/>
    <x v="1"/>
    <x v="0"/>
    <x v="249"/>
    <n v="341"/>
    <x v="1"/>
    <x v="3"/>
    <x v="1"/>
    <s v="No"/>
    <s v="Y"/>
    <n v="1"/>
    <n v="-2"/>
    <n v="0"/>
    <x v="28"/>
    <x v="1"/>
    <x v="1"/>
    <n v="0"/>
    <n v="1"/>
    <n v="1199"/>
    <n v="7"/>
    <x v="2"/>
    <x v="0"/>
    <n v="1"/>
    <n v="77"/>
    <n v="4"/>
    <n v="2"/>
    <n v="2"/>
    <x v="243"/>
    <n v="5118"/>
    <n v="4"/>
    <n v="17"/>
    <n v="3"/>
    <n v="4"/>
    <n v="80"/>
    <n v="1"/>
    <n v="9"/>
    <n v="3"/>
    <n v="3"/>
    <n v="2"/>
    <n v="0"/>
    <n v="2"/>
  </r>
  <r>
    <x v="0"/>
    <s v="Travel_Frequently"/>
    <x v="0"/>
    <s v="Ex-Employees"/>
    <x v="1"/>
    <x v="2"/>
    <x v="250"/>
    <n v="342"/>
    <x v="1"/>
    <x v="3"/>
    <x v="2"/>
    <s v="No"/>
    <s v="Y"/>
    <n v="5"/>
    <n v="-2"/>
    <n v="0"/>
    <x v="2"/>
    <x v="0"/>
    <x v="0"/>
    <n v="1"/>
    <n v="0"/>
    <n v="504"/>
    <n v="10"/>
    <x v="3"/>
    <x v="0"/>
    <n v="1"/>
    <n v="61"/>
    <n v="3"/>
    <n v="3"/>
    <n v="3"/>
    <x v="244"/>
    <n v="22573"/>
    <n v="6"/>
    <n v="11"/>
    <n v="3"/>
    <n v="2"/>
    <n v="80"/>
    <n v="2"/>
    <n v="17"/>
    <n v="3"/>
    <n v="1"/>
    <n v="0"/>
    <n v="0"/>
    <n v="0"/>
  </r>
  <r>
    <x v="1"/>
    <s v="Travel_Frequently"/>
    <x v="0"/>
    <s v="Current Employees"/>
    <x v="1"/>
    <x v="4"/>
    <x v="251"/>
    <n v="343"/>
    <x v="0"/>
    <x v="4"/>
    <x v="0"/>
    <s v="No"/>
    <s v="Y"/>
    <n v="1"/>
    <n v="-2"/>
    <n v="0"/>
    <x v="22"/>
    <x v="1"/>
    <x v="1"/>
    <n v="0"/>
    <n v="1"/>
    <n v="505"/>
    <n v="2"/>
    <x v="2"/>
    <x v="0"/>
    <n v="4"/>
    <n v="64"/>
    <n v="3"/>
    <n v="3"/>
    <n v="4"/>
    <x v="245"/>
    <n v="6420"/>
    <n v="0"/>
    <n v="25"/>
    <n v="4"/>
    <n v="4"/>
    <n v="80"/>
    <n v="0"/>
    <n v="20"/>
    <n v="3"/>
    <n v="19"/>
    <n v="6"/>
    <n v="11"/>
    <n v="8"/>
  </r>
  <r>
    <x v="1"/>
    <s v="Travel_Rarely"/>
    <x v="2"/>
    <s v="Current Employees"/>
    <x v="1"/>
    <x v="0"/>
    <x v="252"/>
    <n v="346"/>
    <x v="1"/>
    <x v="1"/>
    <x v="0"/>
    <s v="No"/>
    <s v="Y"/>
    <n v="1"/>
    <n v="-2"/>
    <n v="0"/>
    <x v="11"/>
    <x v="1"/>
    <x v="1"/>
    <n v="0"/>
    <n v="1"/>
    <n v="665"/>
    <n v="15"/>
    <x v="3"/>
    <x v="0"/>
    <n v="3"/>
    <n v="60"/>
    <n v="3"/>
    <n v="1"/>
    <n v="2"/>
    <x v="246"/>
    <n v="22673"/>
    <n v="1"/>
    <n v="19"/>
    <n v="3"/>
    <n v="1"/>
    <n v="80"/>
    <n v="0"/>
    <n v="6"/>
    <n v="3"/>
    <n v="6"/>
    <n v="5"/>
    <n v="1"/>
    <n v="5"/>
  </r>
  <r>
    <x v="1"/>
    <s v="Travel_Rarely"/>
    <x v="0"/>
    <s v="Current Employees"/>
    <x v="1"/>
    <x v="0"/>
    <x v="253"/>
    <n v="347"/>
    <x v="0"/>
    <x v="1"/>
    <x v="0"/>
    <s v="Yes"/>
    <s v="Y"/>
    <n v="1"/>
    <n v="-2"/>
    <n v="0"/>
    <x v="19"/>
    <x v="1"/>
    <x v="1"/>
    <n v="0"/>
    <n v="1"/>
    <n v="916"/>
    <n v="17"/>
    <x v="0"/>
    <x v="0"/>
    <n v="4"/>
    <n v="82"/>
    <n v="4"/>
    <n v="2"/>
    <n v="2"/>
    <x v="247"/>
    <n v="23016"/>
    <n v="3"/>
    <n v="13"/>
    <n v="3"/>
    <n v="3"/>
    <n v="80"/>
    <n v="0"/>
    <n v="10"/>
    <n v="3"/>
    <n v="3"/>
    <n v="2"/>
    <n v="0"/>
    <n v="2"/>
  </r>
  <r>
    <x v="1"/>
    <s v="Travel_Rarely"/>
    <x v="2"/>
    <s v="Current Employees"/>
    <x v="0"/>
    <x v="3"/>
    <x v="254"/>
    <n v="349"/>
    <x v="1"/>
    <x v="0"/>
    <x v="2"/>
    <s v="No"/>
    <s v="Y"/>
    <n v="2"/>
    <n v="-2"/>
    <n v="0"/>
    <x v="11"/>
    <x v="1"/>
    <x v="1"/>
    <n v="0"/>
    <n v="1"/>
    <n v="1247"/>
    <n v="20"/>
    <x v="0"/>
    <x v="0"/>
    <n v="4"/>
    <n v="45"/>
    <n v="3"/>
    <n v="2"/>
    <n v="1"/>
    <x v="248"/>
    <n v="10732"/>
    <n v="2"/>
    <n v="14"/>
    <n v="3"/>
    <n v="4"/>
    <n v="80"/>
    <n v="1"/>
    <n v="10"/>
    <n v="3"/>
    <n v="3"/>
    <n v="2"/>
    <n v="0"/>
    <n v="2"/>
  </r>
  <r>
    <x v="1"/>
    <s v="Travel_Rarely"/>
    <x v="2"/>
    <s v="Current Employees"/>
    <x v="1"/>
    <x v="0"/>
    <x v="255"/>
    <n v="350"/>
    <x v="0"/>
    <x v="3"/>
    <x v="1"/>
    <s v="No"/>
    <s v="Y"/>
    <n v="3"/>
    <n v="-2"/>
    <n v="0"/>
    <x v="36"/>
    <x v="1"/>
    <x v="1"/>
    <n v="0"/>
    <n v="1"/>
    <n v="685"/>
    <n v="1"/>
    <x v="3"/>
    <x v="0"/>
    <n v="1"/>
    <n v="62"/>
    <n v="3"/>
    <n v="2"/>
    <n v="2"/>
    <x v="249"/>
    <n v="7505"/>
    <n v="0"/>
    <n v="12"/>
    <n v="3"/>
    <n v="4"/>
    <n v="80"/>
    <n v="2"/>
    <n v="5"/>
    <n v="3"/>
    <n v="4"/>
    <n v="2"/>
    <n v="1"/>
    <n v="2"/>
  </r>
  <r>
    <x v="1"/>
    <s v="Travel_Rarely"/>
    <x v="0"/>
    <s v="Current Employees"/>
    <x v="1"/>
    <x v="2"/>
    <x v="256"/>
    <n v="351"/>
    <x v="0"/>
    <x v="2"/>
    <x v="2"/>
    <s v="Yes"/>
    <s v="Y"/>
    <n v="4"/>
    <n v="-2"/>
    <n v="0"/>
    <x v="19"/>
    <x v="1"/>
    <x v="1"/>
    <n v="0"/>
    <n v="1"/>
    <n v="269"/>
    <n v="2"/>
    <x v="3"/>
    <x v="0"/>
    <n v="4"/>
    <n v="56"/>
    <n v="2"/>
    <n v="1"/>
    <n v="3"/>
    <x v="250"/>
    <n v="8007"/>
    <n v="0"/>
    <n v="11"/>
    <n v="3"/>
    <n v="3"/>
    <n v="80"/>
    <n v="1"/>
    <n v="10"/>
    <n v="3"/>
    <n v="9"/>
    <n v="6"/>
    <n v="7"/>
    <n v="8"/>
  </r>
  <r>
    <x v="1"/>
    <s v="Travel_Rarely"/>
    <x v="0"/>
    <s v="Current Employees"/>
    <x v="1"/>
    <x v="2"/>
    <x v="257"/>
    <n v="352"/>
    <x v="1"/>
    <x v="7"/>
    <x v="2"/>
    <s v="No"/>
    <s v="Y"/>
    <n v="5"/>
    <n v="-2"/>
    <n v="0"/>
    <x v="32"/>
    <x v="1"/>
    <x v="1"/>
    <n v="0"/>
    <n v="1"/>
    <n v="1416"/>
    <n v="2"/>
    <x v="0"/>
    <x v="0"/>
    <n v="1"/>
    <n v="49"/>
    <n v="3"/>
    <n v="5"/>
    <n v="3"/>
    <x v="251"/>
    <n v="5949"/>
    <n v="0"/>
    <n v="19"/>
    <n v="3"/>
    <n v="4"/>
    <n v="80"/>
    <n v="1"/>
    <n v="22"/>
    <n v="3"/>
    <n v="21"/>
    <n v="7"/>
    <n v="3"/>
    <n v="9"/>
  </r>
  <r>
    <x v="1"/>
    <s v="Travel_Rarely"/>
    <x v="1"/>
    <s v="Current Employees"/>
    <x v="1"/>
    <x v="0"/>
    <x v="258"/>
    <n v="353"/>
    <x v="1"/>
    <x v="1"/>
    <x v="1"/>
    <s v="No"/>
    <s v="Y"/>
    <n v="0"/>
    <n v="-2"/>
    <n v="0"/>
    <x v="31"/>
    <x v="1"/>
    <x v="1"/>
    <n v="0"/>
    <n v="1"/>
    <n v="833"/>
    <n v="1"/>
    <x v="3"/>
    <x v="0"/>
    <n v="3"/>
    <n v="96"/>
    <n v="3"/>
    <n v="1"/>
    <n v="2"/>
    <x v="252"/>
    <n v="23231"/>
    <n v="1"/>
    <n v="11"/>
    <n v="3"/>
    <n v="2"/>
    <n v="80"/>
    <n v="0"/>
    <n v="1"/>
    <n v="2"/>
    <n v="1"/>
    <n v="0"/>
    <n v="0"/>
    <n v="0"/>
  </r>
  <r>
    <x v="0"/>
    <s v="Travel_Frequently"/>
    <x v="2"/>
    <s v="Ex-Employees"/>
    <x v="1"/>
    <x v="2"/>
    <x v="259"/>
    <n v="355"/>
    <x v="1"/>
    <x v="2"/>
    <x v="0"/>
    <s v="No"/>
    <s v="Y"/>
    <n v="2"/>
    <n v="-2"/>
    <n v="0"/>
    <x v="12"/>
    <x v="0"/>
    <x v="0"/>
    <n v="1"/>
    <n v="0"/>
    <n v="307"/>
    <n v="29"/>
    <x v="0"/>
    <x v="0"/>
    <n v="3"/>
    <n v="71"/>
    <n v="2"/>
    <n v="1"/>
    <n v="3"/>
    <x v="253"/>
    <n v="11652"/>
    <n v="0"/>
    <n v="11"/>
    <n v="3"/>
    <n v="2"/>
    <n v="80"/>
    <n v="0"/>
    <n v="6"/>
    <n v="4"/>
    <n v="5"/>
    <n v="4"/>
    <n v="1"/>
    <n v="4"/>
  </r>
  <r>
    <x v="1"/>
    <s v="Travel_Frequently"/>
    <x v="2"/>
    <s v="Current Employees"/>
    <x v="1"/>
    <x v="0"/>
    <x v="260"/>
    <n v="359"/>
    <x v="1"/>
    <x v="2"/>
    <x v="1"/>
    <s v="No"/>
    <s v="Y"/>
    <n v="3"/>
    <n v="-2"/>
    <n v="0"/>
    <x v="5"/>
    <x v="1"/>
    <x v="1"/>
    <n v="0"/>
    <n v="1"/>
    <n v="1311"/>
    <n v="7"/>
    <x v="3"/>
    <x v="0"/>
    <n v="2"/>
    <n v="100"/>
    <n v="4"/>
    <n v="1"/>
    <n v="2"/>
    <x v="254"/>
    <n v="26062"/>
    <n v="1"/>
    <n v="20"/>
    <n v="4"/>
    <n v="3"/>
    <n v="80"/>
    <n v="0"/>
    <n v="5"/>
    <n v="1"/>
    <n v="5"/>
    <n v="1"/>
    <n v="0"/>
    <n v="3"/>
  </r>
  <r>
    <x v="1"/>
    <s v="Non-Travel"/>
    <x v="0"/>
    <s v="Current Employees"/>
    <x v="0"/>
    <x v="0"/>
    <x v="261"/>
    <n v="361"/>
    <x v="1"/>
    <x v="0"/>
    <x v="1"/>
    <s v="No"/>
    <s v="Y"/>
    <n v="0"/>
    <n v="-2"/>
    <n v="0"/>
    <x v="8"/>
    <x v="1"/>
    <x v="1"/>
    <n v="0"/>
    <n v="1"/>
    <n v="1327"/>
    <n v="2"/>
    <x v="0"/>
    <x v="0"/>
    <n v="4"/>
    <n v="39"/>
    <n v="2"/>
    <n v="2"/>
    <n v="2"/>
    <x v="255"/>
    <n v="19682"/>
    <n v="3"/>
    <n v="18"/>
    <n v="3"/>
    <n v="4"/>
    <n v="80"/>
    <n v="1"/>
    <n v="13"/>
    <n v="3"/>
    <n v="8"/>
    <n v="7"/>
    <n v="7"/>
    <n v="5"/>
  </r>
  <r>
    <x v="1"/>
    <s v="Travel_Rarely"/>
    <x v="2"/>
    <s v="Current Employees"/>
    <x v="1"/>
    <x v="4"/>
    <x v="262"/>
    <n v="362"/>
    <x v="1"/>
    <x v="2"/>
    <x v="0"/>
    <s v="No"/>
    <s v="Y"/>
    <n v="5"/>
    <n v="-2"/>
    <n v="0"/>
    <x v="5"/>
    <x v="1"/>
    <x v="1"/>
    <n v="0"/>
    <n v="1"/>
    <n v="128"/>
    <n v="2"/>
    <x v="1"/>
    <x v="0"/>
    <n v="4"/>
    <n v="84"/>
    <n v="2"/>
    <n v="2"/>
    <n v="4"/>
    <x v="256"/>
    <n v="19737"/>
    <n v="4"/>
    <n v="13"/>
    <n v="3"/>
    <n v="4"/>
    <n v="80"/>
    <n v="0"/>
    <n v="9"/>
    <n v="3"/>
    <n v="6"/>
    <n v="2"/>
    <n v="0"/>
    <n v="4"/>
  </r>
  <r>
    <x v="1"/>
    <s v="Travel_Rarely"/>
    <x v="1"/>
    <s v="Current Employees"/>
    <x v="0"/>
    <x v="4"/>
    <x v="263"/>
    <n v="363"/>
    <x v="0"/>
    <x v="5"/>
    <x v="1"/>
    <s v="Yes"/>
    <s v="Y"/>
    <n v="2"/>
    <n v="-2"/>
    <n v="0"/>
    <x v="21"/>
    <x v="1"/>
    <x v="1"/>
    <n v="0"/>
    <n v="1"/>
    <n v="488"/>
    <n v="2"/>
    <x v="3"/>
    <x v="0"/>
    <n v="4"/>
    <n v="75"/>
    <n v="1"/>
    <n v="4"/>
    <n v="4"/>
    <x v="257"/>
    <n v="14977"/>
    <n v="3"/>
    <n v="12"/>
    <n v="3"/>
    <n v="2"/>
    <n v="80"/>
    <n v="1"/>
    <n v="28"/>
    <n v="2"/>
    <n v="7"/>
    <n v="7"/>
    <n v="7"/>
    <n v="7"/>
  </r>
  <r>
    <x v="0"/>
    <s v="Travel_Rarely"/>
    <x v="2"/>
    <s v="Ex-Employees"/>
    <x v="1"/>
    <x v="0"/>
    <x v="264"/>
    <n v="364"/>
    <x v="1"/>
    <x v="2"/>
    <x v="0"/>
    <s v="No"/>
    <s v="Y"/>
    <n v="5"/>
    <n v="-2"/>
    <n v="0"/>
    <x v="14"/>
    <x v="0"/>
    <x v="0"/>
    <n v="1"/>
    <n v="0"/>
    <n v="529"/>
    <n v="2"/>
    <x v="2"/>
    <x v="0"/>
    <n v="1"/>
    <n v="79"/>
    <n v="3"/>
    <n v="1"/>
    <n v="2"/>
    <x v="258"/>
    <n v="14935"/>
    <n v="2"/>
    <n v="11"/>
    <n v="3"/>
    <n v="3"/>
    <n v="80"/>
    <n v="0"/>
    <n v="5"/>
    <n v="1"/>
    <n v="0"/>
    <n v="0"/>
    <n v="0"/>
    <n v="0"/>
  </r>
  <r>
    <x v="1"/>
    <s v="Travel_Rarely"/>
    <x v="2"/>
    <s v="Current Employees"/>
    <x v="0"/>
    <x v="2"/>
    <x v="265"/>
    <n v="366"/>
    <x v="1"/>
    <x v="0"/>
    <x v="1"/>
    <s v="No"/>
    <s v="Y"/>
    <n v="2"/>
    <n v="-2"/>
    <n v="0"/>
    <x v="11"/>
    <x v="1"/>
    <x v="1"/>
    <n v="0"/>
    <n v="1"/>
    <n v="1210"/>
    <n v="2"/>
    <x v="3"/>
    <x v="0"/>
    <n v="1"/>
    <n v="78"/>
    <n v="2"/>
    <n v="2"/>
    <n v="3"/>
    <x v="259"/>
    <n v="3687"/>
    <n v="2"/>
    <n v="19"/>
    <n v="3"/>
    <n v="2"/>
    <n v="80"/>
    <n v="2"/>
    <n v="10"/>
    <n v="3"/>
    <n v="0"/>
    <n v="0"/>
    <n v="0"/>
    <n v="0"/>
  </r>
  <r>
    <x v="1"/>
    <s v="Travel_Rarely"/>
    <x v="2"/>
    <s v="Current Employees"/>
    <x v="1"/>
    <x v="2"/>
    <x v="266"/>
    <n v="367"/>
    <x v="1"/>
    <x v="4"/>
    <x v="1"/>
    <s v="No"/>
    <s v="Y"/>
    <n v="2"/>
    <n v="-2"/>
    <n v="0"/>
    <x v="12"/>
    <x v="1"/>
    <x v="1"/>
    <n v="0"/>
    <n v="1"/>
    <n v="1463"/>
    <n v="23"/>
    <x v="3"/>
    <x v="0"/>
    <n v="2"/>
    <n v="64"/>
    <n v="2"/>
    <n v="2"/>
    <n v="4"/>
    <x v="260"/>
    <n v="14408"/>
    <n v="0"/>
    <n v="21"/>
    <n v="4"/>
    <n v="2"/>
    <n v="80"/>
    <n v="1"/>
    <n v="10"/>
    <n v="3"/>
    <n v="9"/>
    <n v="0"/>
    <n v="7"/>
    <n v="8"/>
  </r>
  <r>
    <x v="1"/>
    <s v="Non-Travel"/>
    <x v="2"/>
    <s v="Current Employees"/>
    <x v="1"/>
    <x v="0"/>
    <x v="267"/>
    <n v="369"/>
    <x v="1"/>
    <x v="4"/>
    <x v="2"/>
    <s v="No"/>
    <s v="Y"/>
    <n v="2"/>
    <n v="-2"/>
    <n v="0"/>
    <x v="36"/>
    <x v="1"/>
    <x v="1"/>
    <n v="0"/>
    <n v="1"/>
    <n v="675"/>
    <n v="5"/>
    <x v="0"/>
    <x v="0"/>
    <n v="2"/>
    <n v="85"/>
    <n v="4"/>
    <n v="2"/>
    <n v="2"/>
    <x v="261"/>
    <n v="18384"/>
    <n v="1"/>
    <n v="12"/>
    <n v="3"/>
    <n v="4"/>
    <n v="80"/>
    <n v="2"/>
    <n v="6"/>
    <n v="3"/>
    <n v="6"/>
    <n v="3"/>
    <n v="1"/>
    <n v="5"/>
  </r>
  <r>
    <x v="1"/>
    <s v="Travel_Rarely"/>
    <x v="1"/>
    <s v="Current Employees"/>
    <x v="1"/>
    <x v="2"/>
    <x v="268"/>
    <n v="372"/>
    <x v="1"/>
    <x v="4"/>
    <x v="1"/>
    <s v="Yes"/>
    <s v="Y"/>
    <n v="2"/>
    <n v="-2"/>
    <n v="0"/>
    <x v="28"/>
    <x v="1"/>
    <x v="1"/>
    <n v="0"/>
    <n v="1"/>
    <n v="1385"/>
    <n v="20"/>
    <x v="0"/>
    <x v="0"/>
    <n v="3"/>
    <n v="79"/>
    <n v="3"/>
    <n v="4"/>
    <n v="4"/>
    <x v="262"/>
    <n v="7501"/>
    <n v="0"/>
    <n v="14"/>
    <n v="3"/>
    <n v="2"/>
    <n v="80"/>
    <n v="0"/>
    <n v="21"/>
    <n v="3"/>
    <n v="20"/>
    <n v="7"/>
    <n v="4"/>
    <n v="10"/>
  </r>
  <r>
    <x v="1"/>
    <s v="Travel_Rarely"/>
    <x v="0"/>
    <s v="Current Employees"/>
    <x v="1"/>
    <x v="0"/>
    <x v="269"/>
    <n v="373"/>
    <x v="1"/>
    <x v="2"/>
    <x v="1"/>
    <s v="No"/>
    <s v="Y"/>
    <n v="4"/>
    <n v="-2"/>
    <n v="0"/>
    <x v="9"/>
    <x v="1"/>
    <x v="1"/>
    <n v="0"/>
    <n v="1"/>
    <n v="1403"/>
    <n v="6"/>
    <x v="3"/>
    <x v="0"/>
    <n v="4"/>
    <n v="47"/>
    <n v="3"/>
    <n v="1"/>
    <n v="2"/>
    <x v="263"/>
    <n v="20251"/>
    <n v="0"/>
    <n v="11"/>
    <n v="3"/>
    <n v="3"/>
    <n v="80"/>
    <n v="1"/>
    <n v="16"/>
    <n v="3"/>
    <n v="15"/>
    <n v="13"/>
    <n v="10"/>
    <n v="11"/>
  </r>
  <r>
    <x v="1"/>
    <s v="Travel_Rarely"/>
    <x v="3"/>
    <s v="Current Employees"/>
    <x v="1"/>
    <x v="2"/>
    <x v="270"/>
    <n v="374"/>
    <x v="1"/>
    <x v="5"/>
    <x v="0"/>
    <s v="Yes"/>
    <s v="Y"/>
    <n v="2"/>
    <n v="-2"/>
    <n v="0"/>
    <x v="27"/>
    <x v="1"/>
    <x v="1"/>
    <n v="0"/>
    <n v="1"/>
    <n v="452"/>
    <n v="1"/>
    <x v="3"/>
    <x v="0"/>
    <n v="4"/>
    <n v="81"/>
    <n v="3"/>
    <n v="5"/>
    <n v="3"/>
    <x v="264"/>
    <n v="18938"/>
    <n v="0"/>
    <n v="14"/>
    <n v="3"/>
    <n v="3"/>
    <n v="80"/>
    <n v="0"/>
    <n v="37"/>
    <n v="3"/>
    <n v="36"/>
    <n v="10"/>
    <n v="4"/>
    <n v="13"/>
  </r>
  <r>
    <x v="0"/>
    <s v="Non-Travel"/>
    <x v="1"/>
    <s v="Ex-Employees"/>
    <x v="1"/>
    <x v="0"/>
    <x v="271"/>
    <n v="376"/>
    <x v="1"/>
    <x v="5"/>
    <x v="1"/>
    <s v="Yes"/>
    <s v="Y"/>
    <n v="2"/>
    <n v="-2"/>
    <n v="0"/>
    <x v="40"/>
    <x v="0"/>
    <x v="0"/>
    <n v="1"/>
    <n v="0"/>
    <n v="666"/>
    <n v="29"/>
    <x v="2"/>
    <x v="0"/>
    <n v="1"/>
    <n v="88"/>
    <n v="3"/>
    <n v="3"/>
    <n v="2"/>
    <x v="265"/>
    <n v="10268"/>
    <n v="1"/>
    <n v="12"/>
    <n v="3"/>
    <n v="4"/>
    <n v="80"/>
    <n v="1"/>
    <n v="10"/>
    <n v="2"/>
    <n v="10"/>
    <n v="7"/>
    <n v="9"/>
    <n v="9"/>
  </r>
  <r>
    <x v="1"/>
    <s v="Travel_Rarely"/>
    <x v="2"/>
    <s v="Current Employees"/>
    <x v="1"/>
    <x v="2"/>
    <x v="272"/>
    <n v="377"/>
    <x v="1"/>
    <x v="1"/>
    <x v="1"/>
    <s v="No"/>
    <s v="Y"/>
    <n v="3"/>
    <n v="-2"/>
    <n v="0"/>
    <x v="14"/>
    <x v="1"/>
    <x v="1"/>
    <n v="0"/>
    <n v="1"/>
    <n v="1158"/>
    <n v="9"/>
    <x v="3"/>
    <x v="0"/>
    <n v="4"/>
    <n v="94"/>
    <n v="3"/>
    <n v="1"/>
    <n v="4"/>
    <x v="266"/>
    <n v="2613"/>
    <n v="1"/>
    <n v="23"/>
    <n v="4"/>
    <n v="4"/>
    <n v="80"/>
    <n v="1"/>
    <n v="5"/>
    <n v="2"/>
    <n v="5"/>
    <n v="2"/>
    <n v="0"/>
    <n v="4"/>
  </r>
  <r>
    <x v="1"/>
    <s v="Travel_Rarely"/>
    <x v="0"/>
    <s v="Current Employees"/>
    <x v="0"/>
    <x v="2"/>
    <x v="273"/>
    <n v="378"/>
    <x v="1"/>
    <x v="0"/>
    <x v="1"/>
    <s v="No"/>
    <s v="Y"/>
    <n v="5"/>
    <n v="-2"/>
    <n v="0"/>
    <x v="2"/>
    <x v="1"/>
    <x v="1"/>
    <n v="0"/>
    <n v="1"/>
    <n v="228"/>
    <n v="6"/>
    <x v="2"/>
    <x v="0"/>
    <n v="3"/>
    <n v="98"/>
    <n v="3"/>
    <n v="2"/>
    <n v="4"/>
    <x v="267"/>
    <n v="22825"/>
    <n v="4"/>
    <n v="14"/>
    <n v="3"/>
    <n v="2"/>
    <n v="80"/>
    <n v="1"/>
    <n v="7"/>
    <n v="4"/>
    <n v="5"/>
    <n v="4"/>
    <n v="0"/>
    <n v="1"/>
  </r>
  <r>
    <x v="1"/>
    <s v="Travel_Rarely"/>
    <x v="4"/>
    <s v="Current Employees"/>
    <x v="1"/>
    <x v="2"/>
    <x v="274"/>
    <n v="379"/>
    <x v="1"/>
    <x v="1"/>
    <x v="0"/>
    <s v="No"/>
    <s v="Y"/>
    <n v="4"/>
    <n v="-2"/>
    <n v="0"/>
    <x v="18"/>
    <x v="1"/>
    <x v="1"/>
    <n v="0"/>
    <n v="1"/>
    <n v="996"/>
    <n v="3"/>
    <x v="0"/>
    <x v="0"/>
    <n v="4"/>
    <n v="100"/>
    <n v="2"/>
    <n v="1"/>
    <n v="3"/>
    <x v="268"/>
    <n v="10531"/>
    <n v="1"/>
    <n v="17"/>
    <n v="3"/>
    <n v="1"/>
    <n v="80"/>
    <n v="0"/>
    <n v="3"/>
    <n v="4"/>
    <n v="3"/>
    <n v="2"/>
    <n v="1"/>
    <n v="0"/>
  </r>
  <r>
    <x v="1"/>
    <s v="Non-Travel"/>
    <x v="0"/>
    <s v="Current Employees"/>
    <x v="1"/>
    <x v="2"/>
    <x v="275"/>
    <n v="380"/>
    <x v="0"/>
    <x v="7"/>
    <x v="2"/>
    <s v="Yes"/>
    <s v="Y"/>
    <n v="2"/>
    <n v="-2"/>
    <n v="0"/>
    <x v="2"/>
    <x v="1"/>
    <x v="1"/>
    <n v="0"/>
    <n v="1"/>
    <n v="728"/>
    <n v="1"/>
    <x v="2"/>
    <x v="0"/>
    <n v="1"/>
    <n v="80"/>
    <n v="3"/>
    <n v="3"/>
    <n v="4"/>
    <x v="269"/>
    <n v="11677"/>
    <n v="2"/>
    <n v="18"/>
    <n v="3"/>
    <n v="1"/>
    <n v="80"/>
    <n v="2"/>
    <n v="15"/>
    <n v="3"/>
    <n v="5"/>
    <n v="2"/>
    <n v="0"/>
    <n v="2"/>
  </r>
  <r>
    <x v="1"/>
    <s v="Travel_Rarely"/>
    <x v="0"/>
    <s v="Current Employees"/>
    <x v="1"/>
    <x v="0"/>
    <x v="276"/>
    <n v="381"/>
    <x v="0"/>
    <x v="5"/>
    <x v="2"/>
    <s v="No"/>
    <s v="Y"/>
    <n v="6"/>
    <n v="-2"/>
    <n v="0"/>
    <x v="10"/>
    <x v="1"/>
    <x v="1"/>
    <n v="0"/>
    <n v="1"/>
    <n v="1315"/>
    <n v="22"/>
    <x v="3"/>
    <x v="0"/>
    <n v="2"/>
    <n v="71"/>
    <n v="4"/>
    <n v="3"/>
    <n v="2"/>
    <x v="270"/>
    <n v="19100"/>
    <n v="7"/>
    <n v="18"/>
    <n v="3"/>
    <n v="2"/>
    <n v="80"/>
    <n v="1"/>
    <n v="10"/>
    <n v="2"/>
    <n v="7"/>
    <n v="7"/>
    <n v="6"/>
    <n v="2"/>
  </r>
  <r>
    <x v="1"/>
    <s v="Travel_Rarely"/>
    <x v="0"/>
    <s v="Current Employees"/>
    <x v="0"/>
    <x v="2"/>
    <x v="277"/>
    <n v="382"/>
    <x v="0"/>
    <x v="0"/>
    <x v="2"/>
    <s v="Yes"/>
    <s v="Y"/>
    <n v="3"/>
    <n v="-2"/>
    <n v="0"/>
    <x v="8"/>
    <x v="1"/>
    <x v="1"/>
    <n v="0"/>
    <n v="1"/>
    <n v="322"/>
    <n v="7"/>
    <x v="0"/>
    <x v="0"/>
    <n v="1"/>
    <n v="44"/>
    <n v="4"/>
    <n v="2"/>
    <n v="3"/>
    <x v="147"/>
    <n v="19191"/>
    <n v="1"/>
    <n v="24"/>
    <n v="4"/>
    <n v="3"/>
    <n v="80"/>
    <n v="1"/>
    <n v="8"/>
    <n v="3"/>
    <n v="8"/>
    <n v="0"/>
    <n v="7"/>
    <n v="7"/>
  </r>
  <r>
    <x v="1"/>
    <s v="Travel_Frequently"/>
    <x v="2"/>
    <s v="Current Employees"/>
    <x v="1"/>
    <x v="0"/>
    <x v="278"/>
    <n v="384"/>
    <x v="0"/>
    <x v="3"/>
    <x v="2"/>
    <s v="No"/>
    <s v="Y"/>
    <n v="6"/>
    <n v="-2"/>
    <n v="0"/>
    <x v="25"/>
    <x v="1"/>
    <x v="1"/>
    <n v="0"/>
    <n v="1"/>
    <n v="1479"/>
    <n v="1"/>
    <x v="3"/>
    <x v="0"/>
    <n v="3"/>
    <n v="84"/>
    <n v="3"/>
    <n v="2"/>
    <n v="2"/>
    <x v="271"/>
    <n v="26767"/>
    <n v="1"/>
    <n v="20"/>
    <n v="4"/>
    <n v="1"/>
    <n v="80"/>
    <n v="1"/>
    <n v="6"/>
    <n v="1"/>
    <n v="6"/>
    <n v="5"/>
    <n v="1"/>
    <n v="4"/>
  </r>
  <r>
    <x v="1"/>
    <s v="Travel_Rarely"/>
    <x v="1"/>
    <s v="Current Employees"/>
    <x v="1"/>
    <x v="0"/>
    <x v="279"/>
    <n v="385"/>
    <x v="1"/>
    <x v="7"/>
    <x v="2"/>
    <s v="No"/>
    <s v="Y"/>
    <n v="4"/>
    <n v="-2"/>
    <n v="0"/>
    <x v="24"/>
    <x v="1"/>
    <x v="1"/>
    <n v="0"/>
    <n v="1"/>
    <n v="797"/>
    <n v="4"/>
    <x v="1"/>
    <x v="0"/>
    <n v="1"/>
    <n v="96"/>
    <n v="3"/>
    <n v="5"/>
    <n v="2"/>
    <x v="272"/>
    <n v="15815"/>
    <n v="3"/>
    <n v="14"/>
    <n v="3"/>
    <n v="1"/>
    <n v="80"/>
    <n v="2"/>
    <n v="28"/>
    <n v="2"/>
    <n v="10"/>
    <n v="4"/>
    <n v="1"/>
    <n v="6"/>
  </r>
  <r>
    <x v="1"/>
    <s v="Travel_Rarely"/>
    <x v="1"/>
    <s v="Current Employees"/>
    <x v="1"/>
    <x v="2"/>
    <x v="280"/>
    <n v="386"/>
    <x v="1"/>
    <x v="7"/>
    <x v="1"/>
    <s v="Yes"/>
    <s v="Y"/>
    <n v="5"/>
    <n v="-2"/>
    <n v="0"/>
    <x v="16"/>
    <x v="1"/>
    <x v="1"/>
    <n v="0"/>
    <n v="1"/>
    <n v="1070"/>
    <n v="3"/>
    <x v="2"/>
    <x v="0"/>
    <n v="3"/>
    <n v="45"/>
    <n v="3"/>
    <n v="4"/>
    <n v="3"/>
    <x v="273"/>
    <n v="21016"/>
    <n v="3"/>
    <n v="16"/>
    <n v="3"/>
    <n v="4"/>
    <n v="80"/>
    <n v="3"/>
    <n v="21"/>
    <n v="2"/>
    <n v="5"/>
    <n v="3"/>
    <n v="1"/>
    <n v="3"/>
  </r>
  <r>
    <x v="1"/>
    <s v="Travel_Rarely"/>
    <x v="0"/>
    <s v="Current Employees"/>
    <x v="0"/>
    <x v="0"/>
    <x v="281"/>
    <n v="387"/>
    <x v="1"/>
    <x v="0"/>
    <x v="1"/>
    <s v="No"/>
    <s v="Y"/>
    <n v="3"/>
    <n v="-2"/>
    <n v="0"/>
    <x v="19"/>
    <x v="1"/>
    <x v="1"/>
    <n v="0"/>
    <n v="1"/>
    <n v="635"/>
    <n v="1"/>
    <x v="1"/>
    <x v="0"/>
    <n v="2"/>
    <n v="99"/>
    <n v="3"/>
    <n v="2"/>
    <n v="2"/>
    <x v="274"/>
    <n v="24532"/>
    <n v="1"/>
    <n v="25"/>
    <n v="4"/>
    <n v="3"/>
    <n v="80"/>
    <n v="0"/>
    <n v="20"/>
    <n v="3"/>
    <n v="20"/>
    <n v="16"/>
    <n v="11"/>
    <n v="6"/>
  </r>
  <r>
    <x v="1"/>
    <s v="Travel_Frequently"/>
    <x v="2"/>
    <s v="Current Employees"/>
    <x v="0"/>
    <x v="0"/>
    <x v="282"/>
    <n v="388"/>
    <x v="1"/>
    <x v="0"/>
    <x v="0"/>
    <s v="No"/>
    <s v="Y"/>
    <n v="3"/>
    <n v="-2"/>
    <n v="0"/>
    <x v="11"/>
    <x v="1"/>
    <x v="1"/>
    <n v="0"/>
    <n v="1"/>
    <n v="442"/>
    <n v="2"/>
    <x v="0"/>
    <x v="0"/>
    <n v="2"/>
    <n v="44"/>
    <n v="3"/>
    <n v="2"/>
    <n v="2"/>
    <x v="275"/>
    <n v="20260"/>
    <n v="1"/>
    <n v="18"/>
    <n v="3"/>
    <n v="1"/>
    <n v="80"/>
    <n v="0"/>
    <n v="10"/>
    <n v="2"/>
    <n v="10"/>
    <n v="7"/>
    <n v="0"/>
    <n v="9"/>
  </r>
  <r>
    <x v="1"/>
    <s v="Travel_Rarely"/>
    <x v="3"/>
    <s v="Current Employees"/>
    <x v="1"/>
    <x v="4"/>
    <x v="283"/>
    <n v="389"/>
    <x v="1"/>
    <x v="2"/>
    <x v="1"/>
    <s v="Yes"/>
    <s v="Y"/>
    <n v="4"/>
    <n v="-2"/>
    <n v="0"/>
    <x v="27"/>
    <x v="1"/>
    <x v="1"/>
    <n v="0"/>
    <n v="1"/>
    <n v="147"/>
    <n v="20"/>
    <x v="0"/>
    <x v="0"/>
    <n v="4"/>
    <n v="37"/>
    <n v="3"/>
    <n v="2"/>
    <n v="4"/>
    <x v="276"/>
    <n v="15972"/>
    <n v="3"/>
    <n v="19"/>
    <n v="3"/>
    <n v="4"/>
    <n v="80"/>
    <n v="1"/>
    <n v="12"/>
    <n v="3"/>
    <n v="10"/>
    <n v="7"/>
    <n v="0"/>
    <n v="8"/>
  </r>
  <r>
    <x v="1"/>
    <s v="Travel_Frequently"/>
    <x v="2"/>
    <s v="Current Employees"/>
    <x v="1"/>
    <x v="2"/>
    <x v="284"/>
    <n v="390"/>
    <x v="1"/>
    <x v="4"/>
    <x v="1"/>
    <s v="Yes"/>
    <s v="Y"/>
    <n v="3"/>
    <n v="-2"/>
    <n v="0"/>
    <x v="25"/>
    <x v="1"/>
    <x v="1"/>
    <n v="0"/>
    <n v="1"/>
    <n v="496"/>
    <n v="11"/>
    <x v="0"/>
    <x v="0"/>
    <n v="1"/>
    <n v="60"/>
    <n v="3"/>
    <n v="2"/>
    <n v="3"/>
    <x v="277"/>
    <n v="22722"/>
    <n v="1"/>
    <n v="13"/>
    <n v="3"/>
    <n v="3"/>
    <n v="80"/>
    <n v="1"/>
    <n v="5"/>
    <n v="3"/>
    <n v="5"/>
    <n v="3"/>
    <n v="3"/>
    <n v="3"/>
  </r>
  <r>
    <x v="1"/>
    <s v="Travel_Rarely"/>
    <x v="0"/>
    <s v="Current Employees"/>
    <x v="1"/>
    <x v="0"/>
    <x v="285"/>
    <n v="391"/>
    <x v="0"/>
    <x v="1"/>
    <x v="0"/>
    <s v="No"/>
    <s v="Y"/>
    <n v="3"/>
    <n v="-2"/>
    <n v="0"/>
    <x v="2"/>
    <x v="1"/>
    <x v="1"/>
    <n v="0"/>
    <n v="1"/>
    <n v="1372"/>
    <n v="1"/>
    <x v="3"/>
    <x v="0"/>
    <n v="4"/>
    <n v="42"/>
    <n v="3"/>
    <n v="1"/>
    <n v="2"/>
    <x v="278"/>
    <n v="15881"/>
    <n v="1"/>
    <n v="12"/>
    <n v="3"/>
    <n v="2"/>
    <n v="80"/>
    <n v="0"/>
    <n v="17"/>
    <n v="3"/>
    <n v="17"/>
    <n v="12"/>
    <n v="5"/>
    <n v="7"/>
  </r>
  <r>
    <x v="0"/>
    <s v="Travel_Frequently"/>
    <x v="0"/>
    <s v="Ex-Employees"/>
    <x v="1"/>
    <x v="0"/>
    <x v="286"/>
    <n v="392"/>
    <x v="1"/>
    <x v="2"/>
    <x v="2"/>
    <s v="Yes"/>
    <s v="Y"/>
    <n v="0"/>
    <n v="-2"/>
    <n v="0"/>
    <x v="20"/>
    <x v="0"/>
    <x v="0"/>
    <n v="1"/>
    <n v="0"/>
    <n v="920"/>
    <n v="24"/>
    <x v="3"/>
    <x v="0"/>
    <n v="4"/>
    <n v="43"/>
    <n v="3"/>
    <n v="1"/>
    <n v="2"/>
    <x v="279"/>
    <n v="19920"/>
    <n v="3"/>
    <n v="22"/>
    <n v="4"/>
    <n v="4"/>
    <n v="80"/>
    <n v="1"/>
    <n v="19"/>
    <n v="1"/>
    <n v="1"/>
    <n v="0"/>
    <n v="0"/>
    <n v="0"/>
  </r>
  <r>
    <x v="1"/>
    <s v="Travel_Rarely"/>
    <x v="0"/>
    <s v="Current Employees"/>
    <x v="1"/>
    <x v="0"/>
    <x v="287"/>
    <n v="393"/>
    <x v="1"/>
    <x v="4"/>
    <x v="2"/>
    <s v="No"/>
    <s v="Y"/>
    <n v="2"/>
    <n v="-2"/>
    <n v="0"/>
    <x v="8"/>
    <x v="1"/>
    <x v="1"/>
    <n v="0"/>
    <n v="1"/>
    <n v="688"/>
    <n v="23"/>
    <x v="2"/>
    <x v="0"/>
    <n v="4"/>
    <n v="82"/>
    <n v="3"/>
    <n v="2"/>
    <n v="2"/>
    <x v="280"/>
    <n v="18899"/>
    <n v="9"/>
    <n v="14"/>
    <n v="3"/>
    <n v="2"/>
    <n v="80"/>
    <n v="1"/>
    <n v="10"/>
    <n v="3"/>
    <n v="2"/>
    <n v="2"/>
    <n v="1"/>
    <n v="2"/>
  </r>
  <r>
    <x v="0"/>
    <s v="Travel_Rarely"/>
    <x v="2"/>
    <s v="Ex-Employees"/>
    <x v="1"/>
    <x v="2"/>
    <x v="288"/>
    <n v="394"/>
    <x v="1"/>
    <x v="2"/>
    <x v="2"/>
    <s v="Yes"/>
    <s v="Y"/>
    <n v="2"/>
    <n v="-2"/>
    <n v="0"/>
    <x v="25"/>
    <x v="0"/>
    <x v="0"/>
    <n v="1"/>
    <n v="0"/>
    <n v="1449"/>
    <n v="16"/>
    <x v="2"/>
    <x v="0"/>
    <n v="1"/>
    <n v="45"/>
    <n v="3"/>
    <n v="1"/>
    <n v="3"/>
    <x v="281"/>
    <n v="14180"/>
    <n v="2"/>
    <n v="13"/>
    <n v="3"/>
    <n v="4"/>
    <n v="80"/>
    <n v="1"/>
    <n v="5"/>
    <n v="3"/>
    <n v="3"/>
    <n v="2"/>
    <n v="0"/>
    <n v="2"/>
  </r>
  <r>
    <x v="1"/>
    <s v="Travel_Rarely"/>
    <x v="2"/>
    <s v="Current Employees"/>
    <x v="1"/>
    <x v="0"/>
    <x v="289"/>
    <n v="395"/>
    <x v="0"/>
    <x v="1"/>
    <x v="0"/>
    <s v="No"/>
    <s v="Y"/>
    <n v="3"/>
    <n v="-2"/>
    <n v="0"/>
    <x v="14"/>
    <x v="1"/>
    <x v="1"/>
    <n v="0"/>
    <n v="1"/>
    <n v="1117"/>
    <n v="8"/>
    <x v="0"/>
    <x v="0"/>
    <n v="4"/>
    <n v="66"/>
    <n v="3"/>
    <n v="1"/>
    <n v="2"/>
    <x v="282"/>
    <n v="4488"/>
    <n v="1"/>
    <n v="21"/>
    <n v="4"/>
    <n v="4"/>
    <n v="80"/>
    <n v="0"/>
    <n v="5"/>
    <n v="3"/>
    <n v="5"/>
    <n v="3"/>
    <n v="0"/>
    <n v="2"/>
  </r>
  <r>
    <x v="1"/>
    <s v="Travel_Frequently"/>
    <x v="1"/>
    <s v="Current Employees"/>
    <x v="1"/>
    <x v="0"/>
    <x v="290"/>
    <n v="396"/>
    <x v="0"/>
    <x v="7"/>
    <x v="0"/>
    <s v="Yes"/>
    <s v="Y"/>
    <n v="4"/>
    <n v="-2"/>
    <n v="0"/>
    <x v="1"/>
    <x v="1"/>
    <x v="1"/>
    <n v="0"/>
    <n v="1"/>
    <n v="636"/>
    <n v="10"/>
    <x v="2"/>
    <x v="0"/>
    <n v="3"/>
    <n v="35"/>
    <n v="3"/>
    <n v="5"/>
    <n v="2"/>
    <x v="283"/>
    <n v="25594"/>
    <n v="9"/>
    <n v="11"/>
    <n v="3"/>
    <n v="4"/>
    <n v="80"/>
    <n v="0"/>
    <n v="22"/>
    <n v="3"/>
    <n v="3"/>
    <n v="2"/>
    <n v="1"/>
    <n v="2"/>
  </r>
  <r>
    <x v="1"/>
    <s v="Travel_Rarely"/>
    <x v="0"/>
    <s v="Current Employees"/>
    <x v="1"/>
    <x v="4"/>
    <x v="291"/>
    <n v="397"/>
    <x v="1"/>
    <x v="1"/>
    <x v="0"/>
    <s v="No"/>
    <s v="Y"/>
    <n v="2"/>
    <n v="-2"/>
    <n v="0"/>
    <x v="9"/>
    <x v="1"/>
    <x v="1"/>
    <n v="0"/>
    <n v="1"/>
    <n v="506"/>
    <n v="3"/>
    <x v="3"/>
    <x v="0"/>
    <n v="4"/>
    <n v="30"/>
    <n v="3"/>
    <n v="2"/>
    <n v="4"/>
    <x v="284"/>
    <n v="26285"/>
    <n v="4"/>
    <n v="12"/>
    <n v="3"/>
    <n v="4"/>
    <n v="80"/>
    <n v="0"/>
    <n v="10"/>
    <n v="3"/>
    <n v="8"/>
    <n v="0"/>
    <n v="7"/>
    <n v="7"/>
  </r>
  <r>
    <x v="1"/>
    <s v="Travel_Frequently"/>
    <x v="2"/>
    <s v="Current Employees"/>
    <x v="0"/>
    <x v="3"/>
    <x v="292"/>
    <n v="399"/>
    <x v="0"/>
    <x v="6"/>
    <x v="2"/>
    <s v="No"/>
    <s v="Y"/>
    <n v="5"/>
    <n v="-2"/>
    <n v="0"/>
    <x v="12"/>
    <x v="1"/>
    <x v="1"/>
    <n v="0"/>
    <n v="1"/>
    <n v="444"/>
    <n v="5"/>
    <x v="3"/>
    <x v="0"/>
    <n v="4"/>
    <n v="84"/>
    <n v="3"/>
    <n v="1"/>
    <n v="1"/>
    <x v="285"/>
    <n v="3909"/>
    <n v="1"/>
    <n v="11"/>
    <n v="3"/>
    <n v="3"/>
    <n v="80"/>
    <n v="1"/>
    <n v="2"/>
    <n v="2"/>
    <n v="2"/>
    <n v="2"/>
    <n v="2"/>
    <n v="2"/>
  </r>
  <r>
    <x v="0"/>
    <s v="Travel_Rarely"/>
    <x v="2"/>
    <s v="Ex-Employees"/>
    <x v="0"/>
    <x v="3"/>
    <x v="293"/>
    <n v="401"/>
    <x v="1"/>
    <x v="0"/>
    <x v="0"/>
    <s v="Yes"/>
    <s v="Y"/>
    <n v="0"/>
    <n v="-2"/>
    <n v="0"/>
    <x v="25"/>
    <x v="0"/>
    <x v="0"/>
    <n v="1"/>
    <n v="0"/>
    <n v="950"/>
    <n v="4"/>
    <x v="2"/>
    <x v="0"/>
    <n v="4"/>
    <n v="48"/>
    <n v="2"/>
    <n v="2"/>
    <n v="1"/>
    <x v="286"/>
    <n v="8450"/>
    <n v="1"/>
    <n v="12"/>
    <n v="3"/>
    <n v="2"/>
    <n v="80"/>
    <n v="0"/>
    <n v="8"/>
    <n v="3"/>
    <n v="8"/>
    <n v="7"/>
    <n v="7"/>
    <n v="4"/>
  </r>
  <r>
    <x v="1"/>
    <s v="Travel_Frequently"/>
    <x v="0"/>
    <s v="Current Employees"/>
    <x v="1"/>
    <x v="2"/>
    <x v="294"/>
    <n v="403"/>
    <x v="1"/>
    <x v="1"/>
    <x v="1"/>
    <s v="Yes"/>
    <s v="Y"/>
    <n v="3"/>
    <n v="-2"/>
    <n v="0"/>
    <x v="2"/>
    <x v="1"/>
    <x v="1"/>
    <n v="0"/>
    <n v="1"/>
    <n v="889"/>
    <n v="9"/>
    <x v="3"/>
    <x v="0"/>
    <n v="2"/>
    <n v="53"/>
    <n v="3"/>
    <n v="1"/>
    <n v="4"/>
    <x v="287"/>
    <n v="11411"/>
    <n v="1"/>
    <n v="12"/>
    <n v="3"/>
    <n v="3"/>
    <n v="80"/>
    <n v="3"/>
    <n v="4"/>
    <n v="2"/>
    <n v="4"/>
    <n v="2"/>
    <n v="1"/>
    <n v="2"/>
  </r>
  <r>
    <x v="1"/>
    <s v="Travel_Frequently"/>
    <x v="0"/>
    <s v="Current Employees"/>
    <x v="0"/>
    <x v="3"/>
    <x v="295"/>
    <n v="404"/>
    <x v="0"/>
    <x v="0"/>
    <x v="1"/>
    <s v="No"/>
    <s v="Y"/>
    <n v="2"/>
    <n v="-2"/>
    <n v="0"/>
    <x v="19"/>
    <x v="1"/>
    <x v="1"/>
    <n v="0"/>
    <n v="1"/>
    <n v="555"/>
    <n v="26"/>
    <x v="3"/>
    <x v="0"/>
    <n v="3"/>
    <n v="77"/>
    <n v="3"/>
    <n v="4"/>
    <n v="1"/>
    <x v="288"/>
    <n v="14864"/>
    <n v="5"/>
    <n v="14"/>
    <n v="3"/>
    <n v="4"/>
    <n v="80"/>
    <n v="1"/>
    <n v="23"/>
    <n v="4"/>
    <n v="20"/>
    <n v="4"/>
    <n v="4"/>
    <n v="8"/>
  </r>
  <r>
    <x v="0"/>
    <s v="Travel_Rarely"/>
    <x v="4"/>
    <s v="Ex-Employees"/>
    <x v="1"/>
    <x v="0"/>
    <x v="296"/>
    <n v="405"/>
    <x v="1"/>
    <x v="2"/>
    <x v="0"/>
    <s v="No"/>
    <s v="Y"/>
    <n v="2"/>
    <n v="-2"/>
    <n v="0"/>
    <x v="41"/>
    <x v="0"/>
    <x v="0"/>
    <n v="1"/>
    <n v="0"/>
    <n v="230"/>
    <n v="3"/>
    <x v="3"/>
    <x v="0"/>
    <n v="3"/>
    <n v="54"/>
    <n v="3"/>
    <n v="1"/>
    <n v="2"/>
    <x v="289"/>
    <n v="25233"/>
    <n v="1"/>
    <n v="13"/>
    <n v="3"/>
    <n v="3"/>
    <n v="80"/>
    <n v="0"/>
    <n v="0"/>
    <n v="3"/>
    <n v="0"/>
    <n v="0"/>
    <n v="0"/>
    <n v="0"/>
  </r>
  <r>
    <x v="1"/>
    <s v="Travel_Rarely"/>
    <x v="0"/>
    <s v="Current Employees"/>
    <x v="0"/>
    <x v="3"/>
    <x v="297"/>
    <n v="406"/>
    <x v="1"/>
    <x v="0"/>
    <x v="1"/>
    <s v="No"/>
    <s v="Y"/>
    <n v="3"/>
    <n v="-2"/>
    <n v="0"/>
    <x v="10"/>
    <x v="1"/>
    <x v="1"/>
    <n v="0"/>
    <n v="1"/>
    <n v="1232"/>
    <n v="16"/>
    <x v="3"/>
    <x v="0"/>
    <n v="3"/>
    <n v="96"/>
    <n v="3"/>
    <n v="3"/>
    <n v="1"/>
    <x v="290"/>
    <n v="5100"/>
    <n v="0"/>
    <n v="15"/>
    <n v="3"/>
    <n v="3"/>
    <n v="80"/>
    <n v="2"/>
    <n v="12"/>
    <n v="2"/>
    <n v="11"/>
    <n v="9"/>
    <n v="6"/>
    <n v="9"/>
  </r>
  <r>
    <x v="1"/>
    <s v="Travel_Frequently"/>
    <x v="0"/>
    <s v="Current Employees"/>
    <x v="1"/>
    <x v="0"/>
    <x v="298"/>
    <n v="407"/>
    <x v="1"/>
    <x v="2"/>
    <x v="1"/>
    <s v="No"/>
    <s v="Y"/>
    <n v="2"/>
    <n v="-2"/>
    <n v="0"/>
    <x v="9"/>
    <x v="1"/>
    <x v="1"/>
    <n v="0"/>
    <n v="1"/>
    <n v="566"/>
    <n v="18"/>
    <x v="2"/>
    <x v="0"/>
    <n v="3"/>
    <n v="81"/>
    <n v="4"/>
    <n v="1"/>
    <n v="2"/>
    <x v="291"/>
    <n v="7122"/>
    <n v="4"/>
    <n v="18"/>
    <n v="3"/>
    <n v="4"/>
    <n v="80"/>
    <n v="2"/>
    <n v="4"/>
    <n v="3"/>
    <n v="1"/>
    <n v="0"/>
    <n v="0"/>
    <n v="0"/>
  </r>
  <r>
    <x v="1"/>
    <s v="Travel_Rarely"/>
    <x v="1"/>
    <s v="Current Employees"/>
    <x v="1"/>
    <x v="2"/>
    <x v="299"/>
    <n v="408"/>
    <x v="1"/>
    <x v="3"/>
    <x v="2"/>
    <s v="No"/>
    <s v="Y"/>
    <n v="3"/>
    <n v="-2"/>
    <n v="0"/>
    <x v="31"/>
    <x v="1"/>
    <x v="1"/>
    <n v="0"/>
    <n v="1"/>
    <n v="1302"/>
    <n v="2"/>
    <x v="3"/>
    <x v="0"/>
    <n v="4"/>
    <n v="84"/>
    <n v="1"/>
    <n v="2"/>
    <n v="3"/>
    <x v="292"/>
    <n v="16321"/>
    <n v="5"/>
    <n v="18"/>
    <n v="3"/>
    <n v="4"/>
    <n v="80"/>
    <n v="1"/>
    <n v="13"/>
    <n v="3"/>
    <n v="4"/>
    <n v="1"/>
    <n v="1"/>
    <n v="2"/>
  </r>
  <r>
    <x v="1"/>
    <s v="Travel_Rarely"/>
    <x v="0"/>
    <s v="Current Employees"/>
    <x v="0"/>
    <x v="0"/>
    <x v="300"/>
    <n v="410"/>
    <x v="1"/>
    <x v="5"/>
    <x v="0"/>
    <s v="No"/>
    <s v="Y"/>
    <n v="2"/>
    <n v="-2"/>
    <n v="0"/>
    <x v="0"/>
    <x v="1"/>
    <x v="1"/>
    <n v="0"/>
    <n v="1"/>
    <n v="334"/>
    <n v="2"/>
    <x v="2"/>
    <x v="0"/>
    <n v="4"/>
    <n v="88"/>
    <n v="3"/>
    <n v="4"/>
    <n v="2"/>
    <x v="293"/>
    <n v="15896"/>
    <n v="1"/>
    <n v="19"/>
    <n v="3"/>
    <n v="2"/>
    <n v="80"/>
    <n v="0"/>
    <n v="22"/>
    <n v="3"/>
    <n v="22"/>
    <n v="10"/>
    <n v="0"/>
    <n v="4"/>
  </r>
  <r>
    <x v="1"/>
    <s v="Travel_Rarely"/>
    <x v="4"/>
    <s v="Current Employees"/>
    <x v="0"/>
    <x v="2"/>
    <x v="301"/>
    <n v="411"/>
    <x v="0"/>
    <x v="6"/>
    <x v="0"/>
    <s v="No"/>
    <s v="Y"/>
    <n v="2"/>
    <n v="-2"/>
    <n v="0"/>
    <x v="41"/>
    <x v="1"/>
    <x v="1"/>
    <n v="0"/>
    <n v="1"/>
    <n v="812"/>
    <n v="10"/>
    <x v="3"/>
    <x v="0"/>
    <n v="4"/>
    <n v="69"/>
    <n v="2"/>
    <n v="1"/>
    <n v="3"/>
    <x v="294"/>
    <n v="9724"/>
    <n v="1"/>
    <n v="12"/>
    <n v="3"/>
    <n v="1"/>
    <n v="80"/>
    <n v="0"/>
    <n v="0"/>
    <n v="3"/>
    <n v="0"/>
    <n v="0"/>
    <n v="0"/>
    <n v="0"/>
  </r>
  <r>
    <x v="1"/>
    <s v="Travel_Rarely"/>
    <x v="2"/>
    <s v="Current Employees"/>
    <x v="1"/>
    <x v="2"/>
    <x v="302"/>
    <n v="412"/>
    <x v="1"/>
    <x v="4"/>
    <x v="0"/>
    <s v="No"/>
    <s v="Y"/>
    <n v="2"/>
    <n v="-2"/>
    <n v="0"/>
    <x v="14"/>
    <x v="1"/>
    <x v="1"/>
    <n v="0"/>
    <n v="1"/>
    <n v="1476"/>
    <n v="16"/>
    <x v="0"/>
    <x v="0"/>
    <n v="2"/>
    <n v="68"/>
    <n v="4"/>
    <n v="2"/>
    <n v="3"/>
    <x v="295"/>
    <n v="4824"/>
    <n v="0"/>
    <n v="19"/>
    <n v="3"/>
    <n v="3"/>
    <n v="80"/>
    <n v="0"/>
    <n v="9"/>
    <n v="3"/>
    <n v="8"/>
    <n v="3"/>
    <n v="0"/>
    <n v="7"/>
  </r>
  <r>
    <x v="1"/>
    <s v="Travel_Rarely"/>
    <x v="2"/>
    <s v="Current Employees"/>
    <x v="0"/>
    <x v="4"/>
    <x v="303"/>
    <n v="416"/>
    <x v="1"/>
    <x v="0"/>
    <x v="1"/>
    <s v="No"/>
    <s v="Y"/>
    <n v="3"/>
    <n v="-2"/>
    <n v="0"/>
    <x v="12"/>
    <x v="1"/>
    <x v="1"/>
    <n v="0"/>
    <n v="1"/>
    <n v="218"/>
    <n v="7"/>
    <x v="3"/>
    <x v="0"/>
    <n v="4"/>
    <n v="100"/>
    <n v="4"/>
    <n v="2"/>
    <n v="4"/>
    <x v="296"/>
    <n v="12241"/>
    <n v="4"/>
    <n v="11"/>
    <n v="3"/>
    <n v="2"/>
    <n v="80"/>
    <n v="1"/>
    <n v="10"/>
    <n v="2"/>
    <n v="8"/>
    <n v="7"/>
    <n v="7"/>
    <n v="7"/>
  </r>
  <r>
    <x v="1"/>
    <s v="Travel_Rarely"/>
    <x v="0"/>
    <s v="Current Employees"/>
    <x v="1"/>
    <x v="2"/>
    <x v="304"/>
    <n v="417"/>
    <x v="1"/>
    <x v="4"/>
    <x v="2"/>
    <s v="No"/>
    <s v="Y"/>
    <n v="5"/>
    <n v="-2"/>
    <n v="0"/>
    <x v="22"/>
    <x v="1"/>
    <x v="1"/>
    <n v="0"/>
    <n v="1"/>
    <n v="1132"/>
    <n v="1"/>
    <x v="3"/>
    <x v="0"/>
    <n v="3"/>
    <n v="48"/>
    <n v="4"/>
    <n v="3"/>
    <n v="4"/>
    <x v="297"/>
    <n v="10942"/>
    <n v="0"/>
    <n v="17"/>
    <n v="3"/>
    <n v="1"/>
    <n v="80"/>
    <n v="3"/>
    <n v="19"/>
    <n v="2"/>
    <n v="18"/>
    <n v="10"/>
    <n v="3"/>
    <n v="7"/>
  </r>
  <r>
    <x v="1"/>
    <s v="Non-Travel"/>
    <x v="0"/>
    <s v="Current Employees"/>
    <x v="1"/>
    <x v="0"/>
    <x v="305"/>
    <n v="419"/>
    <x v="0"/>
    <x v="2"/>
    <x v="1"/>
    <s v="No"/>
    <s v="Y"/>
    <n v="3"/>
    <n v="-2"/>
    <n v="0"/>
    <x v="9"/>
    <x v="1"/>
    <x v="1"/>
    <n v="0"/>
    <n v="1"/>
    <n v="1105"/>
    <n v="24"/>
    <x v="2"/>
    <x v="0"/>
    <n v="2"/>
    <n v="47"/>
    <n v="3"/>
    <n v="2"/>
    <n v="2"/>
    <x v="298"/>
    <n v="6927"/>
    <n v="7"/>
    <n v="15"/>
    <n v="3"/>
    <n v="3"/>
    <n v="80"/>
    <n v="1"/>
    <n v="11"/>
    <n v="3"/>
    <n v="9"/>
    <n v="8"/>
    <n v="0"/>
    <n v="8"/>
  </r>
  <r>
    <x v="1"/>
    <s v="Travel_Rarely"/>
    <x v="2"/>
    <s v="Current Employees"/>
    <x v="0"/>
    <x v="0"/>
    <x v="306"/>
    <n v="420"/>
    <x v="1"/>
    <x v="0"/>
    <x v="1"/>
    <s v="No"/>
    <s v="Y"/>
    <n v="3"/>
    <n v="-2"/>
    <n v="0"/>
    <x v="5"/>
    <x v="1"/>
    <x v="1"/>
    <n v="0"/>
    <n v="1"/>
    <n v="906"/>
    <n v="7"/>
    <x v="3"/>
    <x v="0"/>
    <n v="4"/>
    <n v="91"/>
    <n v="2"/>
    <n v="2"/>
    <n v="2"/>
    <x v="299"/>
    <n v="16985"/>
    <n v="1"/>
    <n v="14"/>
    <n v="3"/>
    <n v="3"/>
    <n v="80"/>
    <n v="1"/>
    <n v="13"/>
    <n v="2"/>
    <n v="13"/>
    <n v="8"/>
    <n v="4"/>
    <n v="8"/>
  </r>
  <r>
    <x v="1"/>
    <s v="Travel_Rarely"/>
    <x v="0"/>
    <s v="Current Employees"/>
    <x v="1"/>
    <x v="0"/>
    <x v="307"/>
    <n v="421"/>
    <x v="0"/>
    <x v="7"/>
    <x v="1"/>
    <s v="No"/>
    <s v="Y"/>
    <n v="2"/>
    <n v="-2"/>
    <n v="0"/>
    <x v="8"/>
    <x v="1"/>
    <x v="1"/>
    <n v="0"/>
    <n v="1"/>
    <n v="849"/>
    <n v="25"/>
    <x v="0"/>
    <x v="0"/>
    <n v="1"/>
    <n v="81"/>
    <n v="2"/>
    <n v="3"/>
    <n v="2"/>
    <x v="300"/>
    <n v="26707"/>
    <n v="3"/>
    <n v="17"/>
    <n v="3"/>
    <n v="3"/>
    <n v="80"/>
    <n v="1"/>
    <n v="19"/>
    <n v="3"/>
    <n v="10"/>
    <n v="8"/>
    <n v="0"/>
    <n v="1"/>
  </r>
  <r>
    <x v="1"/>
    <s v="Non-Travel"/>
    <x v="3"/>
    <s v="Current Employees"/>
    <x v="1"/>
    <x v="0"/>
    <x v="308"/>
    <n v="422"/>
    <x v="1"/>
    <x v="4"/>
    <x v="2"/>
    <s v="Yes"/>
    <s v="Y"/>
    <n v="2"/>
    <n v="-2"/>
    <n v="0"/>
    <x v="34"/>
    <x v="1"/>
    <x v="1"/>
    <n v="0"/>
    <n v="1"/>
    <n v="390"/>
    <n v="1"/>
    <x v="2"/>
    <x v="0"/>
    <n v="4"/>
    <n v="32"/>
    <n v="1"/>
    <n v="2"/>
    <n v="2"/>
    <x v="301"/>
    <n v="17056"/>
    <n v="2"/>
    <n v="13"/>
    <n v="3"/>
    <n v="4"/>
    <n v="80"/>
    <n v="1"/>
    <n v="12"/>
    <n v="3"/>
    <n v="5"/>
    <n v="3"/>
    <n v="1"/>
    <n v="2"/>
  </r>
  <r>
    <x v="1"/>
    <s v="Travel_Rarely"/>
    <x v="2"/>
    <s v="Current Employees"/>
    <x v="1"/>
    <x v="4"/>
    <x v="309"/>
    <n v="423"/>
    <x v="1"/>
    <x v="1"/>
    <x v="1"/>
    <s v="Yes"/>
    <s v="Y"/>
    <n v="4"/>
    <n v="-2"/>
    <n v="0"/>
    <x v="12"/>
    <x v="1"/>
    <x v="1"/>
    <n v="0"/>
    <n v="1"/>
    <n v="691"/>
    <n v="5"/>
    <x v="2"/>
    <x v="0"/>
    <n v="4"/>
    <n v="86"/>
    <n v="3"/>
    <n v="1"/>
    <n v="4"/>
    <x v="302"/>
    <n v="10077"/>
    <n v="0"/>
    <n v="12"/>
    <n v="3"/>
    <n v="3"/>
    <n v="80"/>
    <n v="1"/>
    <n v="6"/>
    <n v="3"/>
    <n v="5"/>
    <n v="2"/>
    <n v="0"/>
    <n v="3"/>
  </r>
  <r>
    <x v="1"/>
    <s v="Travel_Rarely"/>
    <x v="2"/>
    <s v="Current Employees"/>
    <x v="2"/>
    <x v="5"/>
    <x v="310"/>
    <n v="424"/>
    <x v="1"/>
    <x v="8"/>
    <x v="1"/>
    <s v="No"/>
    <s v="Y"/>
    <n v="1"/>
    <n v="-2"/>
    <n v="0"/>
    <x v="12"/>
    <x v="1"/>
    <x v="1"/>
    <n v="0"/>
    <n v="1"/>
    <n v="106"/>
    <n v="2"/>
    <x v="3"/>
    <x v="0"/>
    <n v="1"/>
    <n v="62"/>
    <n v="2"/>
    <n v="2"/>
    <n v="3"/>
    <x v="303"/>
    <n v="17822"/>
    <n v="3"/>
    <n v="12"/>
    <n v="3"/>
    <n v="4"/>
    <n v="80"/>
    <n v="0"/>
    <n v="9"/>
    <n v="3"/>
    <n v="2"/>
    <n v="2"/>
    <n v="1"/>
    <n v="0"/>
  </r>
  <r>
    <x v="1"/>
    <s v="Travel_Frequently"/>
    <x v="1"/>
    <s v="Current Employees"/>
    <x v="1"/>
    <x v="0"/>
    <x v="311"/>
    <n v="425"/>
    <x v="1"/>
    <x v="2"/>
    <x v="2"/>
    <s v="No"/>
    <s v="Y"/>
    <n v="2"/>
    <n v="-2"/>
    <n v="0"/>
    <x v="28"/>
    <x v="1"/>
    <x v="1"/>
    <n v="0"/>
    <n v="1"/>
    <n v="1249"/>
    <n v="7"/>
    <x v="3"/>
    <x v="0"/>
    <n v="1"/>
    <n v="97"/>
    <n v="3"/>
    <n v="3"/>
    <n v="2"/>
    <x v="304"/>
    <n v="20308"/>
    <n v="1"/>
    <n v="18"/>
    <n v="3"/>
    <n v="1"/>
    <n v="80"/>
    <n v="1"/>
    <n v="24"/>
    <n v="3"/>
    <n v="24"/>
    <n v="9"/>
    <n v="9"/>
    <n v="11"/>
  </r>
  <r>
    <x v="1"/>
    <s v="Travel_Rarely"/>
    <x v="2"/>
    <s v="Current Employees"/>
    <x v="1"/>
    <x v="0"/>
    <x v="312"/>
    <n v="426"/>
    <x v="1"/>
    <x v="1"/>
    <x v="2"/>
    <s v="Yes"/>
    <s v="Y"/>
    <n v="2"/>
    <n v="-2"/>
    <n v="0"/>
    <x v="12"/>
    <x v="1"/>
    <x v="1"/>
    <n v="0"/>
    <n v="1"/>
    <n v="192"/>
    <n v="2"/>
    <x v="2"/>
    <x v="0"/>
    <n v="3"/>
    <n v="32"/>
    <n v="3"/>
    <n v="1"/>
    <n v="2"/>
    <x v="305"/>
    <n v="7747"/>
    <n v="0"/>
    <n v="18"/>
    <n v="3"/>
    <n v="2"/>
    <n v="80"/>
    <n v="1"/>
    <n v="3"/>
    <n v="1"/>
    <n v="2"/>
    <n v="2"/>
    <n v="2"/>
    <n v="2"/>
  </r>
  <r>
    <x v="1"/>
    <s v="Travel_Frequently"/>
    <x v="2"/>
    <s v="Current Employees"/>
    <x v="1"/>
    <x v="0"/>
    <x v="313"/>
    <n v="428"/>
    <x v="0"/>
    <x v="5"/>
    <x v="1"/>
    <s v="No"/>
    <s v="Y"/>
    <n v="2"/>
    <n v="-2"/>
    <n v="0"/>
    <x v="3"/>
    <x v="1"/>
    <x v="1"/>
    <n v="0"/>
    <n v="1"/>
    <n v="553"/>
    <n v="5"/>
    <x v="2"/>
    <x v="0"/>
    <n v="4"/>
    <n v="74"/>
    <n v="3"/>
    <n v="3"/>
    <n v="2"/>
    <x v="306"/>
    <n v="23364"/>
    <n v="6"/>
    <n v="11"/>
    <n v="3"/>
    <n v="2"/>
    <n v="80"/>
    <n v="2"/>
    <n v="12"/>
    <n v="3"/>
    <n v="10"/>
    <n v="6"/>
    <n v="8"/>
    <n v="8"/>
  </r>
  <r>
    <x v="1"/>
    <s v="Travel_Rarely"/>
    <x v="0"/>
    <s v="Current Employees"/>
    <x v="1"/>
    <x v="2"/>
    <x v="314"/>
    <n v="429"/>
    <x v="1"/>
    <x v="5"/>
    <x v="1"/>
    <s v="Yes"/>
    <s v="Y"/>
    <n v="3"/>
    <n v="-2"/>
    <n v="0"/>
    <x v="22"/>
    <x v="1"/>
    <x v="1"/>
    <n v="0"/>
    <n v="1"/>
    <n v="117"/>
    <n v="10"/>
    <x v="1"/>
    <x v="0"/>
    <n v="3"/>
    <n v="99"/>
    <n v="3"/>
    <n v="4"/>
    <n v="3"/>
    <x v="307"/>
    <n v="5355"/>
    <n v="1"/>
    <n v="14"/>
    <n v="3"/>
    <n v="4"/>
    <n v="80"/>
    <n v="0"/>
    <n v="21"/>
    <n v="3"/>
    <n v="21"/>
    <n v="9"/>
    <n v="11"/>
    <n v="10"/>
  </r>
  <r>
    <x v="1"/>
    <s v="Travel_Frequently"/>
    <x v="0"/>
    <s v="Current Employees"/>
    <x v="1"/>
    <x v="0"/>
    <x v="315"/>
    <n v="430"/>
    <x v="0"/>
    <x v="2"/>
    <x v="0"/>
    <s v="No"/>
    <s v="Y"/>
    <n v="5"/>
    <n v="-2"/>
    <n v="0"/>
    <x v="23"/>
    <x v="1"/>
    <x v="1"/>
    <n v="0"/>
    <n v="1"/>
    <n v="185"/>
    <n v="10"/>
    <x v="2"/>
    <x v="0"/>
    <n v="3"/>
    <n v="33"/>
    <n v="3"/>
    <n v="1"/>
    <n v="2"/>
    <x v="308"/>
    <n v="10675"/>
    <n v="0"/>
    <n v="19"/>
    <n v="3"/>
    <n v="1"/>
    <n v="80"/>
    <n v="0"/>
    <n v="9"/>
    <n v="3"/>
    <n v="8"/>
    <n v="7"/>
    <n v="1"/>
    <n v="7"/>
  </r>
  <r>
    <x v="1"/>
    <s v="Travel_Rarely"/>
    <x v="1"/>
    <s v="Current Employees"/>
    <x v="1"/>
    <x v="4"/>
    <x v="316"/>
    <n v="431"/>
    <x v="0"/>
    <x v="4"/>
    <x v="0"/>
    <s v="Yes"/>
    <s v="Y"/>
    <n v="2"/>
    <n v="-2"/>
    <n v="0"/>
    <x v="1"/>
    <x v="1"/>
    <x v="1"/>
    <n v="0"/>
    <n v="1"/>
    <n v="1091"/>
    <n v="1"/>
    <x v="0"/>
    <x v="0"/>
    <n v="4"/>
    <n v="90"/>
    <n v="2"/>
    <n v="4"/>
    <n v="4"/>
    <x v="309"/>
    <n v="17810"/>
    <n v="7"/>
    <n v="12"/>
    <n v="3"/>
    <n v="4"/>
    <n v="80"/>
    <n v="0"/>
    <n v="25"/>
    <n v="3"/>
    <n v="7"/>
    <n v="1"/>
    <n v="0"/>
    <n v="7"/>
  </r>
  <r>
    <x v="0"/>
    <s v="Travel_Rarely"/>
    <x v="1"/>
    <s v="Ex-Employees"/>
    <x v="1"/>
    <x v="2"/>
    <x v="317"/>
    <n v="433"/>
    <x v="1"/>
    <x v="1"/>
    <x v="1"/>
    <s v="No"/>
    <s v="Y"/>
    <n v="3"/>
    <n v="-2"/>
    <n v="0"/>
    <x v="39"/>
    <x v="0"/>
    <x v="0"/>
    <n v="1"/>
    <n v="0"/>
    <n v="723"/>
    <n v="8"/>
    <x v="2"/>
    <x v="0"/>
    <n v="3"/>
    <n v="85"/>
    <n v="2"/>
    <n v="2"/>
    <n v="3"/>
    <x v="132"/>
    <n v="17747"/>
    <n v="2"/>
    <n v="15"/>
    <n v="3"/>
    <n v="1"/>
    <n v="80"/>
    <n v="0"/>
    <n v="11"/>
    <n v="2"/>
    <n v="8"/>
    <n v="2"/>
    <n v="7"/>
    <n v="7"/>
  </r>
  <r>
    <x v="1"/>
    <s v="Travel_Rarely"/>
    <x v="2"/>
    <s v="Current Employees"/>
    <x v="1"/>
    <x v="0"/>
    <x v="318"/>
    <n v="434"/>
    <x v="0"/>
    <x v="1"/>
    <x v="0"/>
    <s v="Yes"/>
    <s v="Y"/>
    <n v="2"/>
    <n v="-2"/>
    <n v="0"/>
    <x v="4"/>
    <x v="1"/>
    <x v="1"/>
    <n v="0"/>
    <n v="1"/>
    <n v="1220"/>
    <n v="5"/>
    <x v="3"/>
    <x v="0"/>
    <n v="3"/>
    <n v="85"/>
    <n v="3"/>
    <n v="1"/>
    <n v="2"/>
    <x v="310"/>
    <n v="20938"/>
    <n v="1"/>
    <n v="12"/>
    <n v="3"/>
    <n v="2"/>
    <n v="80"/>
    <n v="0"/>
    <n v="4"/>
    <n v="2"/>
    <n v="4"/>
    <n v="3"/>
    <n v="1"/>
    <n v="2"/>
  </r>
  <r>
    <x v="1"/>
    <s v="Travel_Rarely"/>
    <x v="2"/>
    <s v="Current Employees"/>
    <x v="0"/>
    <x v="4"/>
    <x v="319"/>
    <n v="436"/>
    <x v="0"/>
    <x v="0"/>
    <x v="1"/>
    <s v="Yes"/>
    <s v="Y"/>
    <n v="2"/>
    <n v="-2"/>
    <n v="0"/>
    <x v="5"/>
    <x v="1"/>
    <x v="1"/>
    <n v="0"/>
    <n v="1"/>
    <n v="588"/>
    <n v="8"/>
    <x v="0"/>
    <x v="0"/>
    <n v="4"/>
    <n v="65"/>
    <n v="2"/>
    <n v="2"/>
    <n v="4"/>
    <x v="311"/>
    <n v="24624"/>
    <n v="1"/>
    <n v="11"/>
    <n v="3"/>
    <n v="4"/>
    <n v="80"/>
    <n v="0"/>
    <n v="13"/>
    <n v="3"/>
    <n v="13"/>
    <n v="12"/>
    <n v="11"/>
    <n v="9"/>
  </r>
  <r>
    <x v="1"/>
    <s v="Travel_Rarely"/>
    <x v="2"/>
    <s v="Current Employees"/>
    <x v="0"/>
    <x v="0"/>
    <x v="320"/>
    <n v="437"/>
    <x v="1"/>
    <x v="0"/>
    <x v="0"/>
    <s v="Yes"/>
    <s v="Y"/>
    <n v="3"/>
    <n v="-2"/>
    <n v="0"/>
    <x v="4"/>
    <x v="1"/>
    <x v="1"/>
    <n v="0"/>
    <n v="1"/>
    <n v="1377"/>
    <n v="2"/>
    <x v="3"/>
    <x v="0"/>
    <n v="4"/>
    <n v="74"/>
    <n v="3"/>
    <n v="2"/>
    <n v="2"/>
    <x v="312"/>
    <n v="5242"/>
    <n v="1"/>
    <n v="11"/>
    <n v="3"/>
    <n v="1"/>
    <n v="80"/>
    <n v="0"/>
    <n v="5"/>
    <n v="3"/>
    <n v="5"/>
    <n v="4"/>
    <n v="0"/>
    <n v="4"/>
  </r>
  <r>
    <x v="1"/>
    <s v="Travel_Rarely"/>
    <x v="2"/>
    <s v="Current Employees"/>
    <x v="0"/>
    <x v="3"/>
    <x v="321"/>
    <n v="438"/>
    <x v="1"/>
    <x v="0"/>
    <x v="2"/>
    <s v="No"/>
    <s v="Y"/>
    <n v="3"/>
    <n v="-2"/>
    <n v="0"/>
    <x v="12"/>
    <x v="1"/>
    <x v="1"/>
    <n v="0"/>
    <n v="1"/>
    <n v="691"/>
    <n v="7"/>
    <x v="3"/>
    <x v="0"/>
    <n v="4"/>
    <n v="73"/>
    <n v="3"/>
    <n v="2"/>
    <n v="1"/>
    <x v="313"/>
    <n v="7143"/>
    <n v="4"/>
    <n v="12"/>
    <n v="3"/>
    <n v="4"/>
    <n v="80"/>
    <n v="3"/>
    <n v="13"/>
    <n v="3"/>
    <n v="7"/>
    <n v="7"/>
    <n v="1"/>
    <n v="7"/>
  </r>
  <r>
    <x v="1"/>
    <s v="Travel_Rarely"/>
    <x v="2"/>
    <s v="Current Employees"/>
    <x v="1"/>
    <x v="2"/>
    <x v="322"/>
    <n v="439"/>
    <x v="0"/>
    <x v="1"/>
    <x v="0"/>
    <s v="No"/>
    <s v="Y"/>
    <n v="0"/>
    <n v="-2"/>
    <n v="0"/>
    <x v="5"/>
    <x v="1"/>
    <x v="1"/>
    <n v="0"/>
    <n v="1"/>
    <n v="1018"/>
    <n v="2"/>
    <x v="2"/>
    <x v="0"/>
    <n v="1"/>
    <n v="74"/>
    <n v="4"/>
    <n v="2"/>
    <n v="4"/>
    <x v="314"/>
    <n v="10557"/>
    <n v="7"/>
    <n v="16"/>
    <n v="3"/>
    <n v="3"/>
    <n v="80"/>
    <n v="0"/>
    <n v="10"/>
    <n v="2"/>
    <n v="7"/>
    <n v="7"/>
    <n v="0"/>
    <n v="7"/>
  </r>
  <r>
    <x v="0"/>
    <s v="Travel_Rarely"/>
    <x v="2"/>
    <s v="Ex-Employees"/>
    <x v="1"/>
    <x v="2"/>
    <x v="323"/>
    <n v="440"/>
    <x v="1"/>
    <x v="1"/>
    <x v="1"/>
    <s v="Yes"/>
    <s v="Y"/>
    <n v="4"/>
    <n v="-2"/>
    <n v="0"/>
    <x v="14"/>
    <x v="0"/>
    <x v="0"/>
    <n v="1"/>
    <n v="0"/>
    <n v="1157"/>
    <n v="2"/>
    <x v="2"/>
    <x v="0"/>
    <n v="1"/>
    <n v="84"/>
    <n v="1"/>
    <n v="1"/>
    <n v="4"/>
    <x v="315"/>
    <n v="24737"/>
    <n v="5"/>
    <n v="13"/>
    <n v="3"/>
    <n v="4"/>
    <n v="80"/>
    <n v="0"/>
    <n v="5"/>
    <n v="2"/>
    <n v="3"/>
    <n v="2"/>
    <n v="2"/>
    <n v="2"/>
  </r>
  <r>
    <x v="1"/>
    <s v="Travel_Rarely"/>
    <x v="2"/>
    <s v="Current Employees"/>
    <x v="1"/>
    <x v="2"/>
    <x v="324"/>
    <n v="441"/>
    <x v="0"/>
    <x v="1"/>
    <x v="1"/>
    <s v="No"/>
    <s v="Y"/>
    <n v="2"/>
    <n v="-2"/>
    <n v="0"/>
    <x v="7"/>
    <x v="1"/>
    <x v="1"/>
    <n v="0"/>
    <n v="1"/>
    <n v="1275"/>
    <n v="28"/>
    <x v="0"/>
    <x v="0"/>
    <n v="4"/>
    <n v="64"/>
    <n v="3"/>
    <n v="2"/>
    <n v="4"/>
    <x v="316"/>
    <n v="11934"/>
    <n v="1"/>
    <n v="13"/>
    <n v="3"/>
    <n v="4"/>
    <n v="80"/>
    <n v="2"/>
    <n v="11"/>
    <n v="3"/>
    <n v="10"/>
    <n v="8"/>
    <n v="1"/>
    <n v="9"/>
  </r>
  <r>
    <x v="1"/>
    <s v="Travel_Frequently"/>
    <x v="2"/>
    <s v="Current Employees"/>
    <x v="1"/>
    <x v="0"/>
    <x v="325"/>
    <n v="442"/>
    <x v="0"/>
    <x v="3"/>
    <x v="1"/>
    <s v="No"/>
    <s v="Y"/>
    <n v="2"/>
    <n v="-2"/>
    <n v="0"/>
    <x v="12"/>
    <x v="1"/>
    <x v="1"/>
    <n v="0"/>
    <n v="1"/>
    <n v="798"/>
    <n v="7"/>
    <x v="0"/>
    <x v="0"/>
    <n v="3"/>
    <n v="48"/>
    <n v="2"/>
    <n v="3"/>
    <n v="2"/>
    <x v="317"/>
    <n v="14034"/>
    <n v="1"/>
    <n v="24"/>
    <n v="4"/>
    <n v="1"/>
    <n v="80"/>
    <n v="1"/>
    <n v="10"/>
    <n v="3"/>
    <n v="10"/>
    <n v="9"/>
    <n v="8"/>
    <n v="9"/>
  </r>
  <r>
    <x v="1"/>
    <s v="Travel_Frequently"/>
    <x v="0"/>
    <s v="Current Employees"/>
    <x v="1"/>
    <x v="2"/>
    <x v="326"/>
    <n v="444"/>
    <x v="1"/>
    <x v="5"/>
    <x v="1"/>
    <s v="No"/>
    <s v="Y"/>
    <n v="2"/>
    <n v="-2"/>
    <n v="0"/>
    <x v="22"/>
    <x v="1"/>
    <x v="1"/>
    <n v="0"/>
    <n v="1"/>
    <n v="672"/>
    <n v="7"/>
    <x v="0"/>
    <x v="0"/>
    <n v="3"/>
    <n v="54"/>
    <n v="2"/>
    <n v="5"/>
    <n v="4"/>
    <x v="318"/>
    <n v="21141"/>
    <n v="1"/>
    <n v="15"/>
    <n v="3"/>
    <n v="1"/>
    <n v="80"/>
    <n v="1"/>
    <n v="21"/>
    <n v="3"/>
    <n v="21"/>
    <n v="9"/>
    <n v="13"/>
    <n v="3"/>
  </r>
  <r>
    <x v="0"/>
    <s v="Travel_Rarely"/>
    <x v="0"/>
    <s v="Ex-Employees"/>
    <x v="0"/>
    <x v="2"/>
    <x v="327"/>
    <n v="445"/>
    <x v="0"/>
    <x v="0"/>
    <x v="1"/>
    <s v="Yes"/>
    <s v="Y"/>
    <n v="3"/>
    <n v="-2"/>
    <n v="0"/>
    <x v="22"/>
    <x v="0"/>
    <x v="0"/>
    <n v="1"/>
    <n v="0"/>
    <n v="1162"/>
    <n v="3"/>
    <x v="0"/>
    <x v="0"/>
    <n v="4"/>
    <n v="41"/>
    <n v="3"/>
    <n v="2"/>
    <n v="3"/>
    <x v="319"/>
    <n v="17778"/>
    <n v="4"/>
    <n v="18"/>
    <n v="3"/>
    <n v="1"/>
    <n v="80"/>
    <n v="0"/>
    <n v="12"/>
    <n v="2"/>
    <n v="1"/>
    <n v="0"/>
    <n v="0"/>
    <n v="0"/>
  </r>
  <r>
    <x v="1"/>
    <s v="Travel_Frequently"/>
    <x v="2"/>
    <s v="Current Employees"/>
    <x v="0"/>
    <x v="3"/>
    <x v="328"/>
    <n v="446"/>
    <x v="1"/>
    <x v="0"/>
    <x v="0"/>
    <s v="No"/>
    <s v="Y"/>
    <n v="6"/>
    <n v="-2"/>
    <n v="0"/>
    <x v="3"/>
    <x v="1"/>
    <x v="1"/>
    <n v="0"/>
    <n v="1"/>
    <n v="508"/>
    <n v="10"/>
    <x v="3"/>
    <x v="0"/>
    <n v="2"/>
    <n v="46"/>
    <n v="2"/>
    <n v="2"/>
    <n v="1"/>
    <x v="320"/>
    <n v="4317"/>
    <n v="3"/>
    <n v="14"/>
    <n v="3"/>
    <n v="3"/>
    <n v="80"/>
    <n v="0"/>
    <n v="9"/>
    <n v="2"/>
    <n v="7"/>
    <n v="7"/>
    <n v="0"/>
    <n v="1"/>
  </r>
  <r>
    <x v="1"/>
    <s v="Travel_Rarely"/>
    <x v="1"/>
    <s v="Current Employees"/>
    <x v="1"/>
    <x v="0"/>
    <x v="329"/>
    <n v="447"/>
    <x v="1"/>
    <x v="7"/>
    <x v="1"/>
    <s v="No"/>
    <s v="Y"/>
    <n v="2"/>
    <n v="-2"/>
    <n v="0"/>
    <x v="40"/>
    <x v="1"/>
    <x v="1"/>
    <n v="0"/>
    <n v="1"/>
    <n v="1482"/>
    <n v="5"/>
    <x v="4"/>
    <x v="0"/>
    <n v="4"/>
    <n v="42"/>
    <n v="3"/>
    <n v="5"/>
    <n v="2"/>
    <x v="321"/>
    <n v="16375"/>
    <n v="4"/>
    <n v="11"/>
    <n v="3"/>
    <n v="2"/>
    <n v="80"/>
    <n v="1"/>
    <n v="21"/>
    <n v="3"/>
    <n v="3"/>
    <n v="2"/>
    <n v="1"/>
    <n v="1"/>
  </r>
  <r>
    <x v="1"/>
    <s v="Travel_Frequently"/>
    <x v="0"/>
    <s v="Current Employees"/>
    <x v="1"/>
    <x v="0"/>
    <x v="330"/>
    <n v="448"/>
    <x v="0"/>
    <x v="2"/>
    <x v="2"/>
    <s v="No"/>
    <s v="Y"/>
    <n v="3"/>
    <n v="-2"/>
    <n v="0"/>
    <x v="23"/>
    <x v="1"/>
    <x v="1"/>
    <n v="0"/>
    <n v="1"/>
    <n v="559"/>
    <n v="10"/>
    <x v="2"/>
    <x v="0"/>
    <n v="3"/>
    <n v="82"/>
    <n v="2"/>
    <n v="2"/>
    <n v="2"/>
    <x v="322"/>
    <n v="6227"/>
    <n v="1"/>
    <n v="11"/>
    <n v="3"/>
    <n v="2"/>
    <n v="80"/>
    <n v="1"/>
    <n v="9"/>
    <n v="4"/>
    <n v="9"/>
    <n v="7"/>
    <n v="0"/>
    <n v="0"/>
  </r>
  <r>
    <x v="1"/>
    <s v="Non-Travel"/>
    <x v="2"/>
    <s v="Current Employees"/>
    <x v="0"/>
    <x v="3"/>
    <x v="331"/>
    <n v="449"/>
    <x v="1"/>
    <x v="0"/>
    <x v="1"/>
    <s v="Yes"/>
    <s v="Y"/>
    <n v="0"/>
    <n v="-2"/>
    <n v="0"/>
    <x v="4"/>
    <x v="1"/>
    <x v="1"/>
    <n v="0"/>
    <n v="1"/>
    <n v="210"/>
    <n v="1"/>
    <x v="1"/>
    <x v="0"/>
    <n v="3"/>
    <n v="73"/>
    <n v="3"/>
    <n v="2"/>
    <n v="1"/>
    <x v="323"/>
    <n v="22107"/>
    <n v="0"/>
    <n v="13"/>
    <n v="3"/>
    <n v="4"/>
    <n v="80"/>
    <n v="1"/>
    <n v="6"/>
    <n v="3"/>
    <n v="5"/>
    <n v="4"/>
    <n v="1"/>
    <n v="4"/>
  </r>
  <r>
    <x v="1"/>
    <s v="Travel_Frequently"/>
    <x v="1"/>
    <s v="Current Employees"/>
    <x v="1"/>
    <x v="0"/>
    <x v="332"/>
    <n v="450"/>
    <x v="0"/>
    <x v="1"/>
    <x v="0"/>
    <s v="No"/>
    <s v="Y"/>
    <n v="4"/>
    <n v="-2"/>
    <n v="0"/>
    <x v="33"/>
    <x v="1"/>
    <x v="1"/>
    <n v="0"/>
    <n v="1"/>
    <n v="928"/>
    <n v="20"/>
    <x v="2"/>
    <x v="0"/>
    <n v="4"/>
    <n v="31"/>
    <n v="3"/>
    <n v="2"/>
    <n v="2"/>
    <x v="324"/>
    <n v="16885"/>
    <n v="3"/>
    <n v="12"/>
    <n v="3"/>
    <n v="4"/>
    <n v="80"/>
    <n v="0"/>
    <n v="20"/>
    <n v="2"/>
    <n v="4"/>
    <n v="3"/>
    <n v="0"/>
    <n v="3"/>
  </r>
  <r>
    <x v="1"/>
    <s v="Travel_Rarely"/>
    <x v="0"/>
    <s v="Current Employees"/>
    <x v="1"/>
    <x v="0"/>
    <x v="333"/>
    <n v="451"/>
    <x v="0"/>
    <x v="4"/>
    <x v="1"/>
    <s v="No"/>
    <s v="Y"/>
    <n v="1"/>
    <n v="-2"/>
    <n v="0"/>
    <x v="23"/>
    <x v="1"/>
    <x v="1"/>
    <n v="0"/>
    <n v="1"/>
    <n v="1001"/>
    <n v="7"/>
    <x v="3"/>
    <x v="0"/>
    <n v="3"/>
    <n v="43"/>
    <n v="3"/>
    <n v="3"/>
    <n v="2"/>
    <x v="325"/>
    <n v="9262"/>
    <n v="8"/>
    <n v="16"/>
    <n v="3"/>
    <n v="1"/>
    <n v="80"/>
    <n v="1"/>
    <n v="10"/>
    <n v="2"/>
    <n v="1"/>
    <n v="0"/>
    <n v="0"/>
    <n v="0"/>
  </r>
  <r>
    <x v="1"/>
    <s v="Travel_Rarely"/>
    <x v="1"/>
    <s v="Current Employees"/>
    <x v="1"/>
    <x v="1"/>
    <x v="334"/>
    <n v="452"/>
    <x v="1"/>
    <x v="1"/>
    <x v="1"/>
    <s v="No"/>
    <s v="Y"/>
    <n v="3"/>
    <n v="-2"/>
    <n v="0"/>
    <x v="28"/>
    <x v="1"/>
    <x v="1"/>
    <n v="0"/>
    <n v="1"/>
    <n v="549"/>
    <n v="8"/>
    <x v="2"/>
    <x v="0"/>
    <n v="4"/>
    <n v="75"/>
    <n v="3"/>
    <n v="2"/>
    <n v="4"/>
    <x v="326"/>
    <n v="9278"/>
    <n v="9"/>
    <n v="14"/>
    <n v="3"/>
    <n v="1"/>
    <n v="80"/>
    <n v="2"/>
    <n v="12"/>
    <n v="3"/>
    <n v="10"/>
    <n v="9"/>
    <n v="9"/>
    <n v="8"/>
  </r>
  <r>
    <x v="1"/>
    <s v="Travel_Rarely"/>
    <x v="0"/>
    <s v="Current Employees"/>
    <x v="0"/>
    <x v="2"/>
    <x v="335"/>
    <n v="453"/>
    <x v="1"/>
    <x v="0"/>
    <x v="1"/>
    <s v="Yes"/>
    <s v="Y"/>
    <n v="2"/>
    <n v="-2"/>
    <n v="0"/>
    <x v="32"/>
    <x v="1"/>
    <x v="1"/>
    <n v="0"/>
    <n v="1"/>
    <n v="1124"/>
    <n v="1"/>
    <x v="0"/>
    <x v="0"/>
    <n v="2"/>
    <n v="57"/>
    <n v="1"/>
    <n v="2"/>
    <n v="4"/>
    <x v="327"/>
    <n v="13273"/>
    <n v="2"/>
    <n v="22"/>
    <n v="4"/>
    <n v="3"/>
    <n v="80"/>
    <n v="3"/>
    <n v="6"/>
    <n v="2"/>
    <n v="4"/>
    <n v="3"/>
    <n v="0"/>
    <n v="2"/>
  </r>
  <r>
    <x v="0"/>
    <s v="Travel_Rarely"/>
    <x v="2"/>
    <s v="Ex-Employees"/>
    <x v="1"/>
    <x v="1"/>
    <x v="336"/>
    <n v="454"/>
    <x v="1"/>
    <x v="2"/>
    <x v="1"/>
    <s v="Yes"/>
    <s v="Y"/>
    <n v="4"/>
    <n v="-2"/>
    <n v="0"/>
    <x v="11"/>
    <x v="0"/>
    <x v="0"/>
    <n v="1"/>
    <n v="0"/>
    <n v="318"/>
    <n v="8"/>
    <x v="2"/>
    <x v="0"/>
    <n v="2"/>
    <n v="77"/>
    <n v="1"/>
    <n v="1"/>
    <n v="3"/>
    <x v="328"/>
    <n v="4759"/>
    <n v="1"/>
    <n v="11"/>
    <n v="3"/>
    <n v="4"/>
    <n v="80"/>
    <n v="0"/>
    <n v="7"/>
    <n v="2"/>
    <n v="7"/>
    <n v="7"/>
    <n v="0"/>
    <n v="7"/>
  </r>
  <r>
    <x v="1"/>
    <s v="Travel_Rarely"/>
    <x v="2"/>
    <s v="Current Employees"/>
    <x v="1"/>
    <x v="1"/>
    <x v="337"/>
    <n v="455"/>
    <x v="1"/>
    <x v="2"/>
    <x v="0"/>
    <s v="No"/>
    <s v="Y"/>
    <n v="2"/>
    <n v="-2"/>
    <n v="0"/>
    <x v="11"/>
    <x v="1"/>
    <x v="1"/>
    <n v="0"/>
    <n v="1"/>
    <n v="738"/>
    <n v="9"/>
    <x v="4"/>
    <x v="0"/>
    <n v="2"/>
    <n v="30"/>
    <n v="2"/>
    <n v="1"/>
    <n v="4"/>
    <x v="329"/>
    <n v="7621"/>
    <n v="0"/>
    <n v="17"/>
    <n v="3"/>
    <n v="3"/>
    <n v="80"/>
    <n v="0"/>
    <n v="4"/>
    <n v="3"/>
    <n v="3"/>
    <n v="2"/>
    <n v="2"/>
    <n v="2"/>
  </r>
  <r>
    <x v="1"/>
    <s v="Travel_Rarely"/>
    <x v="2"/>
    <s v="Current Employees"/>
    <x v="0"/>
    <x v="3"/>
    <x v="338"/>
    <n v="456"/>
    <x v="0"/>
    <x v="0"/>
    <x v="2"/>
    <s v="No"/>
    <s v="Y"/>
    <n v="2"/>
    <n v="-2"/>
    <n v="0"/>
    <x v="7"/>
    <x v="1"/>
    <x v="1"/>
    <n v="0"/>
    <n v="1"/>
    <n v="570"/>
    <n v="5"/>
    <x v="3"/>
    <x v="0"/>
    <n v="4"/>
    <n v="30"/>
    <n v="2"/>
    <n v="2"/>
    <n v="1"/>
    <x v="330"/>
    <n v="5431"/>
    <n v="1"/>
    <n v="13"/>
    <n v="3"/>
    <n v="3"/>
    <n v="80"/>
    <n v="3"/>
    <n v="10"/>
    <n v="3"/>
    <n v="10"/>
    <n v="9"/>
    <n v="1"/>
    <n v="2"/>
  </r>
  <r>
    <x v="1"/>
    <s v="Travel_Rarely"/>
    <x v="2"/>
    <s v="Current Employees"/>
    <x v="0"/>
    <x v="3"/>
    <x v="339"/>
    <n v="458"/>
    <x v="0"/>
    <x v="0"/>
    <x v="1"/>
    <s v="No"/>
    <s v="Y"/>
    <n v="3"/>
    <n v="-2"/>
    <n v="0"/>
    <x v="4"/>
    <x v="1"/>
    <x v="1"/>
    <n v="0"/>
    <n v="1"/>
    <n v="1130"/>
    <n v="8"/>
    <x v="2"/>
    <x v="0"/>
    <n v="2"/>
    <n v="56"/>
    <n v="3"/>
    <n v="2"/>
    <n v="1"/>
    <x v="331"/>
    <n v="3415"/>
    <n v="1"/>
    <n v="18"/>
    <n v="3"/>
    <n v="1"/>
    <n v="80"/>
    <n v="1"/>
    <n v="8"/>
    <n v="3"/>
    <n v="8"/>
    <n v="7"/>
    <n v="0"/>
    <n v="7"/>
  </r>
  <r>
    <x v="1"/>
    <s v="Travel_Rarely"/>
    <x v="0"/>
    <s v="Current Employees"/>
    <x v="1"/>
    <x v="2"/>
    <x v="340"/>
    <n v="460"/>
    <x v="1"/>
    <x v="3"/>
    <x v="2"/>
    <s v="No"/>
    <s v="Y"/>
    <n v="2"/>
    <n v="-2"/>
    <n v="0"/>
    <x v="2"/>
    <x v="1"/>
    <x v="1"/>
    <n v="0"/>
    <n v="1"/>
    <n v="1192"/>
    <n v="5"/>
    <x v="0"/>
    <x v="0"/>
    <n v="4"/>
    <n v="61"/>
    <n v="3"/>
    <n v="2"/>
    <n v="4"/>
    <x v="136"/>
    <n v="23177"/>
    <n v="7"/>
    <n v="16"/>
    <n v="3"/>
    <n v="3"/>
    <n v="80"/>
    <n v="2"/>
    <n v="8"/>
    <n v="2"/>
    <n v="6"/>
    <n v="2"/>
    <n v="0"/>
    <n v="4"/>
  </r>
  <r>
    <x v="1"/>
    <s v="Travel_Rarely"/>
    <x v="0"/>
    <s v="Current Employees"/>
    <x v="1"/>
    <x v="0"/>
    <x v="341"/>
    <n v="461"/>
    <x v="1"/>
    <x v="7"/>
    <x v="2"/>
    <s v="Yes"/>
    <s v="Y"/>
    <n v="3"/>
    <n v="-2"/>
    <n v="0"/>
    <x v="8"/>
    <x v="1"/>
    <x v="1"/>
    <n v="0"/>
    <n v="1"/>
    <n v="343"/>
    <n v="15"/>
    <x v="0"/>
    <x v="0"/>
    <n v="3"/>
    <n v="92"/>
    <n v="2"/>
    <n v="3"/>
    <n v="2"/>
    <x v="332"/>
    <n v="15682"/>
    <n v="0"/>
    <n v="14"/>
    <n v="3"/>
    <n v="2"/>
    <n v="80"/>
    <n v="1"/>
    <n v="12"/>
    <n v="3"/>
    <n v="11"/>
    <n v="10"/>
    <n v="2"/>
    <n v="9"/>
  </r>
  <r>
    <x v="1"/>
    <s v="Travel_Rarely"/>
    <x v="2"/>
    <s v="Current Employees"/>
    <x v="1"/>
    <x v="2"/>
    <x v="342"/>
    <n v="462"/>
    <x v="0"/>
    <x v="3"/>
    <x v="0"/>
    <s v="Yes"/>
    <s v="Y"/>
    <n v="2"/>
    <n v="-2"/>
    <n v="0"/>
    <x v="12"/>
    <x v="1"/>
    <x v="1"/>
    <n v="0"/>
    <n v="1"/>
    <n v="1232"/>
    <n v="7"/>
    <x v="2"/>
    <x v="0"/>
    <n v="3"/>
    <n v="39"/>
    <n v="3"/>
    <n v="3"/>
    <n v="4"/>
    <x v="333"/>
    <n v="25713"/>
    <n v="1"/>
    <n v="14"/>
    <n v="3"/>
    <n v="3"/>
    <n v="80"/>
    <n v="0"/>
    <n v="11"/>
    <n v="2"/>
    <n v="11"/>
    <n v="9"/>
    <n v="4"/>
    <n v="10"/>
  </r>
  <r>
    <x v="1"/>
    <s v="Travel_Rarely"/>
    <x v="2"/>
    <s v="Current Employees"/>
    <x v="0"/>
    <x v="3"/>
    <x v="343"/>
    <n v="463"/>
    <x v="0"/>
    <x v="0"/>
    <x v="2"/>
    <s v="Yes"/>
    <s v="Y"/>
    <n v="2"/>
    <n v="-2"/>
    <n v="0"/>
    <x v="11"/>
    <x v="1"/>
    <x v="1"/>
    <n v="0"/>
    <n v="1"/>
    <n v="144"/>
    <n v="10"/>
    <x v="1"/>
    <x v="0"/>
    <n v="4"/>
    <n v="39"/>
    <n v="2"/>
    <n v="2"/>
    <n v="1"/>
    <x v="334"/>
    <n v="11866"/>
    <n v="1"/>
    <n v="14"/>
    <n v="3"/>
    <n v="1"/>
    <n v="80"/>
    <n v="2"/>
    <n v="7"/>
    <n v="3"/>
    <n v="7"/>
    <n v="7"/>
    <n v="1"/>
    <n v="7"/>
  </r>
  <r>
    <x v="1"/>
    <s v="Travel_Rarely"/>
    <x v="0"/>
    <s v="Current Employees"/>
    <x v="1"/>
    <x v="4"/>
    <x v="344"/>
    <n v="464"/>
    <x v="1"/>
    <x v="3"/>
    <x v="0"/>
    <s v="No"/>
    <s v="Y"/>
    <n v="5"/>
    <n v="-2"/>
    <n v="0"/>
    <x v="10"/>
    <x v="1"/>
    <x v="1"/>
    <n v="0"/>
    <n v="1"/>
    <n v="1296"/>
    <n v="5"/>
    <x v="2"/>
    <x v="0"/>
    <n v="4"/>
    <n v="62"/>
    <n v="3"/>
    <n v="3"/>
    <n v="4"/>
    <x v="335"/>
    <n v="18264"/>
    <n v="0"/>
    <n v="13"/>
    <n v="3"/>
    <n v="4"/>
    <n v="80"/>
    <n v="0"/>
    <n v="17"/>
    <n v="3"/>
    <n v="16"/>
    <n v="6"/>
    <n v="0"/>
    <n v="13"/>
  </r>
  <r>
    <x v="1"/>
    <s v="Travel_Rarely"/>
    <x v="4"/>
    <s v="Current Employees"/>
    <x v="1"/>
    <x v="0"/>
    <x v="345"/>
    <n v="465"/>
    <x v="1"/>
    <x v="1"/>
    <x v="2"/>
    <s v="No"/>
    <s v="Y"/>
    <n v="2"/>
    <n v="-2"/>
    <n v="0"/>
    <x v="30"/>
    <x v="1"/>
    <x v="1"/>
    <n v="0"/>
    <n v="1"/>
    <n v="1309"/>
    <n v="26"/>
    <x v="1"/>
    <x v="0"/>
    <n v="3"/>
    <n v="83"/>
    <n v="3"/>
    <n v="1"/>
    <n v="2"/>
    <x v="336"/>
    <n v="16092"/>
    <n v="1"/>
    <n v="12"/>
    <n v="3"/>
    <n v="3"/>
    <n v="80"/>
    <n v="2"/>
    <n v="4"/>
    <n v="2"/>
    <n v="4"/>
    <n v="2"/>
    <n v="0"/>
    <n v="2"/>
  </r>
  <r>
    <x v="1"/>
    <s v="Travel_Rarely"/>
    <x v="0"/>
    <s v="Current Employees"/>
    <x v="1"/>
    <x v="2"/>
    <x v="346"/>
    <n v="466"/>
    <x v="1"/>
    <x v="3"/>
    <x v="0"/>
    <s v="Yes"/>
    <s v="Y"/>
    <n v="3"/>
    <n v="-2"/>
    <n v="0"/>
    <x v="0"/>
    <x v="1"/>
    <x v="1"/>
    <n v="0"/>
    <n v="1"/>
    <n v="483"/>
    <n v="6"/>
    <x v="3"/>
    <x v="0"/>
    <n v="4"/>
    <n v="95"/>
    <n v="2"/>
    <n v="2"/>
    <n v="3"/>
    <x v="337"/>
    <n v="10110"/>
    <n v="6"/>
    <n v="15"/>
    <n v="3"/>
    <n v="4"/>
    <n v="80"/>
    <n v="0"/>
    <n v="8"/>
    <n v="3"/>
    <n v="5"/>
    <n v="4"/>
    <n v="1"/>
    <n v="2"/>
  </r>
  <r>
    <x v="1"/>
    <s v="Travel_Frequently"/>
    <x v="1"/>
    <s v="Current Employees"/>
    <x v="0"/>
    <x v="2"/>
    <x v="347"/>
    <n v="467"/>
    <x v="1"/>
    <x v="6"/>
    <x v="0"/>
    <s v="No"/>
    <s v="Y"/>
    <n v="3"/>
    <n v="-2"/>
    <n v="0"/>
    <x v="40"/>
    <x v="1"/>
    <x v="1"/>
    <n v="0"/>
    <n v="1"/>
    <n v="1309"/>
    <n v="4"/>
    <x v="1"/>
    <x v="0"/>
    <n v="2"/>
    <n v="99"/>
    <n v="3"/>
    <n v="2"/>
    <n v="3"/>
    <x v="338"/>
    <n v="25751"/>
    <n v="3"/>
    <n v="19"/>
    <n v="3"/>
    <n v="1"/>
    <n v="80"/>
    <n v="0"/>
    <n v="5"/>
    <n v="3"/>
    <n v="0"/>
    <n v="0"/>
    <n v="0"/>
    <n v="0"/>
  </r>
  <r>
    <x v="1"/>
    <s v="Travel_Rarely"/>
    <x v="0"/>
    <s v="Current Employees"/>
    <x v="1"/>
    <x v="0"/>
    <x v="348"/>
    <n v="468"/>
    <x v="0"/>
    <x v="7"/>
    <x v="0"/>
    <s v="No"/>
    <s v="Y"/>
    <n v="2"/>
    <n v="-2"/>
    <n v="0"/>
    <x v="19"/>
    <x v="1"/>
    <x v="1"/>
    <n v="0"/>
    <n v="1"/>
    <n v="810"/>
    <n v="23"/>
    <x v="4"/>
    <x v="0"/>
    <n v="1"/>
    <n v="44"/>
    <n v="3"/>
    <n v="4"/>
    <n v="2"/>
    <x v="339"/>
    <n v="15901"/>
    <n v="2"/>
    <n v="14"/>
    <n v="3"/>
    <n v="2"/>
    <n v="80"/>
    <n v="0"/>
    <n v="16"/>
    <n v="3"/>
    <n v="1"/>
    <n v="0"/>
    <n v="0"/>
    <n v="0"/>
  </r>
  <r>
    <x v="1"/>
    <s v="Non-Travel"/>
    <x v="2"/>
    <s v="Current Employees"/>
    <x v="0"/>
    <x v="0"/>
    <x v="349"/>
    <n v="469"/>
    <x v="1"/>
    <x v="0"/>
    <x v="1"/>
    <s v="No"/>
    <s v="Y"/>
    <n v="3"/>
    <n v="-2"/>
    <n v="0"/>
    <x v="11"/>
    <x v="1"/>
    <x v="1"/>
    <n v="0"/>
    <n v="1"/>
    <n v="746"/>
    <n v="2"/>
    <x v="3"/>
    <x v="0"/>
    <n v="4"/>
    <n v="61"/>
    <n v="3"/>
    <n v="2"/>
    <n v="2"/>
    <x v="340"/>
    <n v="16928"/>
    <n v="1"/>
    <n v="14"/>
    <n v="3"/>
    <n v="1"/>
    <n v="80"/>
    <n v="1"/>
    <n v="4"/>
    <n v="2"/>
    <n v="4"/>
    <n v="3"/>
    <n v="0"/>
    <n v="2"/>
  </r>
  <r>
    <x v="1"/>
    <s v="Travel_Rarely"/>
    <x v="0"/>
    <s v="Current Employees"/>
    <x v="2"/>
    <x v="4"/>
    <x v="350"/>
    <n v="470"/>
    <x v="1"/>
    <x v="8"/>
    <x v="2"/>
    <s v="Yes"/>
    <s v="Y"/>
    <n v="5"/>
    <n v="-2"/>
    <n v="0"/>
    <x v="19"/>
    <x v="1"/>
    <x v="1"/>
    <n v="0"/>
    <n v="1"/>
    <n v="544"/>
    <n v="2"/>
    <x v="1"/>
    <x v="0"/>
    <n v="4"/>
    <n v="52"/>
    <n v="3"/>
    <n v="1"/>
    <n v="4"/>
    <x v="341"/>
    <n v="24017"/>
    <n v="0"/>
    <n v="11"/>
    <n v="3"/>
    <n v="3"/>
    <n v="80"/>
    <n v="1"/>
    <n v="4"/>
    <n v="3"/>
    <n v="3"/>
    <n v="2"/>
    <n v="1"/>
    <n v="0"/>
  </r>
  <r>
    <x v="1"/>
    <s v="Travel_Rarely"/>
    <x v="2"/>
    <s v="Current Employees"/>
    <x v="1"/>
    <x v="2"/>
    <x v="351"/>
    <n v="471"/>
    <x v="0"/>
    <x v="2"/>
    <x v="1"/>
    <s v="No"/>
    <s v="Y"/>
    <n v="4"/>
    <n v="-2"/>
    <n v="0"/>
    <x v="5"/>
    <x v="1"/>
    <x v="1"/>
    <n v="0"/>
    <n v="1"/>
    <n v="1062"/>
    <n v="2"/>
    <x v="3"/>
    <x v="0"/>
    <n v="3"/>
    <n v="75"/>
    <n v="3"/>
    <n v="1"/>
    <n v="3"/>
    <x v="342"/>
    <n v="3956"/>
    <n v="1"/>
    <n v="13"/>
    <n v="3"/>
    <n v="3"/>
    <n v="80"/>
    <n v="1"/>
    <n v="8"/>
    <n v="3"/>
    <n v="8"/>
    <n v="0"/>
    <n v="0"/>
    <n v="7"/>
  </r>
  <r>
    <x v="1"/>
    <s v="Travel_Rarely"/>
    <x v="1"/>
    <s v="Current Employees"/>
    <x v="0"/>
    <x v="2"/>
    <x v="352"/>
    <n v="473"/>
    <x v="0"/>
    <x v="5"/>
    <x v="1"/>
    <s v="No"/>
    <s v="Y"/>
    <n v="3"/>
    <n v="-2"/>
    <n v="0"/>
    <x v="26"/>
    <x v="1"/>
    <x v="1"/>
    <n v="0"/>
    <n v="1"/>
    <n v="530"/>
    <n v="29"/>
    <x v="1"/>
    <x v="0"/>
    <n v="1"/>
    <n v="91"/>
    <n v="3"/>
    <n v="3"/>
    <n v="3"/>
    <x v="343"/>
    <n v="23978"/>
    <n v="3"/>
    <n v="21"/>
    <n v="4"/>
    <n v="2"/>
    <n v="80"/>
    <n v="1"/>
    <n v="15"/>
    <n v="1"/>
    <n v="0"/>
    <n v="0"/>
    <n v="0"/>
    <n v="0"/>
  </r>
  <r>
    <x v="1"/>
    <s v="Travel_Rarely"/>
    <x v="0"/>
    <s v="Current Employees"/>
    <x v="1"/>
    <x v="2"/>
    <x v="353"/>
    <n v="474"/>
    <x v="1"/>
    <x v="1"/>
    <x v="2"/>
    <s v="Yes"/>
    <s v="Y"/>
    <n v="2"/>
    <n v="-2"/>
    <n v="0"/>
    <x v="2"/>
    <x v="1"/>
    <x v="1"/>
    <n v="0"/>
    <n v="1"/>
    <n v="1319"/>
    <n v="6"/>
    <x v="3"/>
    <x v="0"/>
    <n v="3"/>
    <n v="51"/>
    <n v="4"/>
    <n v="2"/>
    <n v="3"/>
    <x v="344"/>
    <n v="17001"/>
    <n v="4"/>
    <n v="13"/>
    <n v="3"/>
    <n v="1"/>
    <n v="80"/>
    <n v="2"/>
    <n v="13"/>
    <n v="3"/>
    <n v="7"/>
    <n v="7"/>
    <n v="6"/>
    <n v="7"/>
  </r>
  <r>
    <x v="1"/>
    <s v="Non-Travel"/>
    <x v="2"/>
    <s v="Current Employees"/>
    <x v="0"/>
    <x v="4"/>
    <x v="354"/>
    <n v="475"/>
    <x v="0"/>
    <x v="0"/>
    <x v="1"/>
    <s v="Yes"/>
    <s v="Y"/>
    <n v="2"/>
    <n v="-2"/>
    <n v="0"/>
    <x v="7"/>
    <x v="1"/>
    <x v="1"/>
    <n v="0"/>
    <n v="1"/>
    <n v="641"/>
    <n v="25"/>
    <x v="0"/>
    <x v="0"/>
    <n v="4"/>
    <n v="85"/>
    <n v="3"/>
    <n v="2"/>
    <n v="4"/>
    <x v="345"/>
    <n v="6069"/>
    <n v="7"/>
    <n v="12"/>
    <n v="3"/>
    <n v="2"/>
    <n v="80"/>
    <n v="1"/>
    <n v="4"/>
    <n v="4"/>
    <n v="2"/>
    <n v="2"/>
    <n v="2"/>
    <n v="2"/>
  </r>
  <r>
    <x v="1"/>
    <s v="Travel_Rarely"/>
    <x v="2"/>
    <s v="Current Employees"/>
    <x v="0"/>
    <x v="0"/>
    <x v="355"/>
    <n v="476"/>
    <x v="1"/>
    <x v="0"/>
    <x v="1"/>
    <s v="No"/>
    <s v="Y"/>
    <n v="3"/>
    <n v="-2"/>
    <n v="0"/>
    <x v="25"/>
    <x v="1"/>
    <x v="1"/>
    <n v="0"/>
    <n v="1"/>
    <n v="933"/>
    <n v="1"/>
    <x v="3"/>
    <x v="0"/>
    <n v="3"/>
    <n v="57"/>
    <n v="3"/>
    <n v="2"/>
    <n v="2"/>
    <x v="346"/>
    <n v="20156"/>
    <n v="1"/>
    <n v="17"/>
    <n v="3"/>
    <n v="2"/>
    <n v="80"/>
    <n v="1"/>
    <n v="8"/>
    <n v="3"/>
    <n v="8"/>
    <n v="7"/>
    <n v="7"/>
    <n v="7"/>
  </r>
  <r>
    <x v="1"/>
    <s v="Travel_Rarely"/>
    <x v="0"/>
    <s v="Current Employees"/>
    <x v="1"/>
    <x v="1"/>
    <x v="356"/>
    <n v="477"/>
    <x v="1"/>
    <x v="4"/>
    <x v="0"/>
    <s v="No"/>
    <s v="Y"/>
    <n v="6"/>
    <n v="-2"/>
    <n v="0"/>
    <x v="19"/>
    <x v="1"/>
    <x v="1"/>
    <n v="0"/>
    <n v="1"/>
    <n v="1332"/>
    <n v="2"/>
    <x v="2"/>
    <x v="0"/>
    <n v="1"/>
    <n v="98"/>
    <n v="2"/>
    <n v="2"/>
    <n v="4"/>
    <x v="347"/>
    <n v="17078"/>
    <n v="3"/>
    <n v="23"/>
    <n v="4"/>
    <n v="2"/>
    <n v="80"/>
    <n v="0"/>
    <n v="14"/>
    <n v="3"/>
    <n v="1"/>
    <n v="0"/>
    <n v="0"/>
    <n v="0"/>
  </r>
  <r>
    <x v="0"/>
    <s v="Travel_Frequently"/>
    <x v="4"/>
    <s v="Ex-Employees"/>
    <x v="0"/>
    <x v="4"/>
    <x v="357"/>
    <n v="478"/>
    <x v="0"/>
    <x v="6"/>
    <x v="0"/>
    <s v="Yes"/>
    <s v="Y"/>
    <n v="3"/>
    <n v="-2"/>
    <n v="0"/>
    <x v="18"/>
    <x v="0"/>
    <x v="0"/>
    <n v="1"/>
    <n v="0"/>
    <n v="756"/>
    <n v="1"/>
    <x v="1"/>
    <x v="0"/>
    <n v="4"/>
    <n v="99"/>
    <n v="2"/>
    <n v="1"/>
    <n v="4"/>
    <x v="348"/>
    <n v="9150"/>
    <n v="1"/>
    <n v="11"/>
    <n v="3"/>
    <n v="3"/>
    <n v="80"/>
    <n v="0"/>
    <n v="3"/>
    <n v="3"/>
    <n v="3"/>
    <n v="2"/>
    <n v="1"/>
    <n v="2"/>
  </r>
  <r>
    <x v="1"/>
    <s v="Non-Travel"/>
    <x v="0"/>
    <s v="Current Employees"/>
    <x v="0"/>
    <x v="2"/>
    <x v="358"/>
    <n v="479"/>
    <x v="0"/>
    <x v="0"/>
    <x v="0"/>
    <s v="No"/>
    <s v="Y"/>
    <n v="6"/>
    <n v="-2"/>
    <n v="0"/>
    <x v="9"/>
    <x v="1"/>
    <x v="1"/>
    <n v="0"/>
    <n v="1"/>
    <n v="845"/>
    <n v="1"/>
    <x v="4"/>
    <x v="0"/>
    <n v="4"/>
    <n v="45"/>
    <n v="3"/>
    <n v="2"/>
    <n v="4"/>
    <x v="349"/>
    <n v="15276"/>
    <n v="4"/>
    <n v="15"/>
    <n v="3"/>
    <n v="2"/>
    <n v="80"/>
    <n v="0"/>
    <n v="7"/>
    <n v="3"/>
    <n v="1"/>
    <n v="0"/>
    <n v="0"/>
    <n v="0"/>
  </r>
  <r>
    <x v="1"/>
    <s v="Travel_Frequently"/>
    <x v="0"/>
    <s v="Current Employees"/>
    <x v="0"/>
    <x v="2"/>
    <x v="359"/>
    <n v="481"/>
    <x v="1"/>
    <x v="0"/>
    <x v="1"/>
    <s v="No"/>
    <s v="Y"/>
    <n v="2"/>
    <n v="-2"/>
    <n v="0"/>
    <x v="9"/>
    <x v="1"/>
    <x v="1"/>
    <n v="0"/>
    <n v="1"/>
    <n v="541"/>
    <n v="3"/>
    <x v="2"/>
    <x v="0"/>
    <n v="1"/>
    <n v="48"/>
    <n v="2"/>
    <n v="3"/>
    <n v="4"/>
    <x v="350"/>
    <n v="7246"/>
    <n v="4"/>
    <n v="11"/>
    <n v="3"/>
    <n v="1"/>
    <n v="80"/>
    <n v="1"/>
    <n v="16"/>
    <n v="3"/>
    <n v="13"/>
    <n v="9"/>
    <n v="1"/>
    <n v="12"/>
  </r>
  <r>
    <x v="1"/>
    <s v="Travel_Rarely"/>
    <x v="3"/>
    <s v="Current Employees"/>
    <x v="1"/>
    <x v="2"/>
    <x v="360"/>
    <n v="482"/>
    <x v="1"/>
    <x v="4"/>
    <x v="1"/>
    <s v="No"/>
    <s v="Y"/>
    <n v="2"/>
    <n v="-2"/>
    <n v="0"/>
    <x v="38"/>
    <x v="1"/>
    <x v="1"/>
    <n v="0"/>
    <n v="1"/>
    <n v="593"/>
    <n v="1"/>
    <x v="2"/>
    <x v="0"/>
    <n v="4"/>
    <n v="88"/>
    <n v="3"/>
    <n v="2"/>
    <n v="3"/>
    <x v="351"/>
    <n v="2967"/>
    <n v="2"/>
    <n v="11"/>
    <n v="3"/>
    <n v="3"/>
    <n v="80"/>
    <n v="0"/>
    <n v="15"/>
    <n v="3"/>
    <n v="3"/>
    <n v="2"/>
    <n v="1"/>
    <n v="2"/>
  </r>
  <r>
    <x v="1"/>
    <s v="Travel_Rarely"/>
    <x v="0"/>
    <s v="Current Employees"/>
    <x v="1"/>
    <x v="0"/>
    <x v="361"/>
    <n v="483"/>
    <x v="0"/>
    <x v="2"/>
    <x v="1"/>
    <s v="Yes"/>
    <s v="Y"/>
    <n v="3"/>
    <n v="-2"/>
    <n v="0"/>
    <x v="32"/>
    <x v="1"/>
    <x v="1"/>
    <n v="0"/>
    <n v="1"/>
    <n v="1171"/>
    <n v="10"/>
    <x v="2"/>
    <x v="0"/>
    <n v="4"/>
    <n v="46"/>
    <n v="4"/>
    <n v="1"/>
    <n v="2"/>
    <x v="352"/>
    <n v="22495"/>
    <n v="3"/>
    <n v="13"/>
    <n v="3"/>
    <n v="3"/>
    <n v="80"/>
    <n v="1"/>
    <n v="10"/>
    <n v="3"/>
    <n v="7"/>
    <n v="7"/>
    <n v="1"/>
    <n v="7"/>
  </r>
  <r>
    <x v="1"/>
    <s v="Non-Travel"/>
    <x v="4"/>
    <s v="Current Employees"/>
    <x v="0"/>
    <x v="2"/>
    <x v="362"/>
    <n v="484"/>
    <x v="1"/>
    <x v="6"/>
    <x v="0"/>
    <s v="No"/>
    <s v="Y"/>
    <n v="3"/>
    <n v="-2"/>
    <n v="0"/>
    <x v="18"/>
    <x v="1"/>
    <x v="1"/>
    <n v="0"/>
    <n v="1"/>
    <n v="895"/>
    <n v="9"/>
    <x v="0"/>
    <x v="0"/>
    <n v="1"/>
    <n v="39"/>
    <n v="3"/>
    <n v="1"/>
    <n v="4"/>
    <x v="353"/>
    <n v="2851"/>
    <n v="1"/>
    <n v="24"/>
    <n v="4"/>
    <n v="3"/>
    <n v="80"/>
    <n v="0"/>
    <n v="3"/>
    <n v="2"/>
    <n v="3"/>
    <n v="2"/>
    <n v="2"/>
    <n v="2"/>
  </r>
  <r>
    <x v="0"/>
    <s v="Travel_Rarely"/>
    <x v="2"/>
    <s v="Ex-Employees"/>
    <x v="0"/>
    <x v="3"/>
    <x v="363"/>
    <n v="485"/>
    <x v="0"/>
    <x v="6"/>
    <x v="0"/>
    <s v="Yes"/>
    <s v="Y"/>
    <n v="2"/>
    <n v="-2"/>
    <n v="0"/>
    <x v="3"/>
    <x v="0"/>
    <x v="0"/>
    <n v="1"/>
    <n v="0"/>
    <n v="350"/>
    <n v="5"/>
    <x v="3"/>
    <x v="0"/>
    <n v="4"/>
    <n v="34"/>
    <n v="3"/>
    <n v="1"/>
    <n v="1"/>
    <x v="354"/>
    <n v="9150"/>
    <n v="1"/>
    <n v="13"/>
    <n v="3"/>
    <n v="2"/>
    <n v="80"/>
    <n v="0"/>
    <n v="1"/>
    <n v="3"/>
    <n v="1"/>
    <n v="0"/>
    <n v="0"/>
    <n v="0"/>
  </r>
  <r>
    <x v="1"/>
    <s v="Travel_Rarely"/>
    <x v="0"/>
    <s v="Current Employees"/>
    <x v="1"/>
    <x v="2"/>
    <x v="364"/>
    <n v="486"/>
    <x v="0"/>
    <x v="2"/>
    <x v="1"/>
    <s v="No"/>
    <s v="Y"/>
    <n v="3"/>
    <n v="-2"/>
    <n v="0"/>
    <x v="2"/>
    <x v="1"/>
    <x v="1"/>
    <n v="0"/>
    <n v="1"/>
    <n v="921"/>
    <n v="10"/>
    <x v="3"/>
    <x v="0"/>
    <n v="3"/>
    <n v="98"/>
    <n v="3"/>
    <n v="1"/>
    <n v="3"/>
    <x v="138"/>
    <n v="17663"/>
    <n v="6"/>
    <n v="20"/>
    <n v="4"/>
    <n v="2"/>
    <n v="80"/>
    <n v="1"/>
    <n v="17"/>
    <n v="3"/>
    <n v="5"/>
    <n v="4"/>
    <n v="0"/>
    <n v="3"/>
  </r>
  <r>
    <x v="1"/>
    <s v="Non-Travel"/>
    <x v="1"/>
    <s v="Current Employees"/>
    <x v="1"/>
    <x v="2"/>
    <x v="365"/>
    <n v="487"/>
    <x v="0"/>
    <x v="3"/>
    <x v="1"/>
    <s v="No"/>
    <s v="Y"/>
    <n v="2"/>
    <n v="-2"/>
    <n v="0"/>
    <x v="21"/>
    <x v="1"/>
    <x v="1"/>
    <n v="0"/>
    <n v="1"/>
    <n v="1144"/>
    <n v="7"/>
    <x v="2"/>
    <x v="0"/>
    <n v="3"/>
    <n v="30"/>
    <n v="3"/>
    <n v="2"/>
    <n v="3"/>
    <x v="355"/>
    <n v="16044"/>
    <n v="2"/>
    <n v="14"/>
    <n v="3"/>
    <n v="3"/>
    <n v="80"/>
    <n v="0"/>
    <n v="7"/>
    <n v="4"/>
    <n v="1"/>
    <n v="0"/>
    <n v="0"/>
    <n v="0"/>
  </r>
  <r>
    <x v="0"/>
    <s v="Travel_Frequently"/>
    <x v="0"/>
    <s v="Ex-Employees"/>
    <x v="0"/>
    <x v="3"/>
    <x v="366"/>
    <n v="488"/>
    <x v="1"/>
    <x v="0"/>
    <x v="0"/>
    <s v="No"/>
    <s v="Y"/>
    <n v="5"/>
    <n v="-2"/>
    <n v="0"/>
    <x v="0"/>
    <x v="0"/>
    <x v="0"/>
    <n v="1"/>
    <n v="0"/>
    <n v="143"/>
    <n v="4"/>
    <x v="3"/>
    <x v="0"/>
    <n v="1"/>
    <n v="56"/>
    <n v="3"/>
    <n v="2"/>
    <n v="1"/>
    <x v="356"/>
    <n v="9558"/>
    <n v="1"/>
    <n v="18"/>
    <n v="3"/>
    <n v="3"/>
    <n v="80"/>
    <n v="0"/>
    <n v="8"/>
    <n v="3"/>
    <n v="8"/>
    <n v="7"/>
    <n v="7"/>
    <n v="7"/>
  </r>
  <r>
    <x v="1"/>
    <s v="Travel_Rarely"/>
    <x v="1"/>
    <s v="Current Employees"/>
    <x v="1"/>
    <x v="4"/>
    <x v="367"/>
    <n v="491"/>
    <x v="1"/>
    <x v="4"/>
    <x v="0"/>
    <s v="No"/>
    <s v="Y"/>
    <n v="2"/>
    <n v="-2"/>
    <n v="0"/>
    <x v="24"/>
    <x v="1"/>
    <x v="1"/>
    <n v="0"/>
    <n v="1"/>
    <n v="1046"/>
    <n v="10"/>
    <x v="3"/>
    <x v="0"/>
    <n v="4"/>
    <n v="100"/>
    <n v="2"/>
    <n v="3"/>
    <n v="4"/>
    <x v="357"/>
    <n v="2755"/>
    <n v="6"/>
    <n v="15"/>
    <n v="3"/>
    <n v="4"/>
    <n v="80"/>
    <n v="0"/>
    <n v="20"/>
    <n v="3"/>
    <n v="4"/>
    <n v="3"/>
    <n v="1"/>
    <n v="3"/>
  </r>
  <r>
    <x v="0"/>
    <s v="Travel_Rarely"/>
    <x v="0"/>
    <s v="Ex-Employees"/>
    <x v="0"/>
    <x v="3"/>
    <x v="368"/>
    <n v="492"/>
    <x v="1"/>
    <x v="0"/>
    <x v="1"/>
    <s v="Yes"/>
    <s v="Y"/>
    <n v="6"/>
    <n v="-2"/>
    <n v="0"/>
    <x v="32"/>
    <x v="0"/>
    <x v="0"/>
    <n v="1"/>
    <n v="0"/>
    <n v="575"/>
    <n v="22"/>
    <x v="0"/>
    <x v="0"/>
    <n v="3"/>
    <n v="68"/>
    <n v="2"/>
    <n v="2"/>
    <n v="1"/>
    <x v="358"/>
    <n v="6110"/>
    <n v="2"/>
    <n v="12"/>
    <n v="3"/>
    <n v="1"/>
    <n v="80"/>
    <n v="2"/>
    <n v="8"/>
    <n v="3"/>
    <n v="6"/>
    <n v="4"/>
    <n v="1"/>
    <n v="0"/>
  </r>
  <r>
    <x v="1"/>
    <s v="Travel_Rarely"/>
    <x v="2"/>
    <s v="Current Employees"/>
    <x v="1"/>
    <x v="0"/>
    <x v="369"/>
    <n v="493"/>
    <x v="1"/>
    <x v="1"/>
    <x v="0"/>
    <s v="Yes"/>
    <s v="Y"/>
    <n v="5"/>
    <n v="-2"/>
    <n v="0"/>
    <x v="12"/>
    <x v="1"/>
    <x v="1"/>
    <n v="0"/>
    <n v="1"/>
    <n v="408"/>
    <n v="9"/>
    <x v="2"/>
    <x v="0"/>
    <n v="3"/>
    <n v="42"/>
    <n v="2"/>
    <n v="1"/>
    <n v="2"/>
    <x v="210"/>
    <n v="7551"/>
    <n v="0"/>
    <n v="16"/>
    <n v="3"/>
    <n v="4"/>
    <n v="80"/>
    <n v="0"/>
    <n v="3"/>
    <n v="3"/>
    <n v="2"/>
    <n v="2"/>
    <n v="2"/>
    <n v="2"/>
  </r>
  <r>
    <x v="0"/>
    <s v="Travel_Rarely"/>
    <x v="4"/>
    <s v="Ex-Employees"/>
    <x v="0"/>
    <x v="0"/>
    <x v="370"/>
    <n v="494"/>
    <x v="0"/>
    <x v="6"/>
    <x v="0"/>
    <s v="No"/>
    <s v="Y"/>
    <n v="0"/>
    <n v="-2"/>
    <n v="0"/>
    <x v="18"/>
    <x v="0"/>
    <x v="0"/>
    <n v="1"/>
    <n v="0"/>
    <n v="156"/>
    <n v="12"/>
    <x v="3"/>
    <x v="0"/>
    <n v="3"/>
    <n v="90"/>
    <n v="4"/>
    <n v="1"/>
    <n v="2"/>
    <x v="359"/>
    <n v="25422"/>
    <n v="1"/>
    <n v="15"/>
    <n v="3"/>
    <n v="4"/>
    <n v="80"/>
    <n v="0"/>
    <n v="1"/>
    <n v="3"/>
    <n v="1"/>
    <n v="0"/>
    <n v="0"/>
    <n v="0"/>
  </r>
  <r>
    <x v="1"/>
    <s v="Travel_Rarely"/>
    <x v="2"/>
    <s v="Current Employees"/>
    <x v="1"/>
    <x v="0"/>
    <x v="371"/>
    <n v="495"/>
    <x v="1"/>
    <x v="1"/>
    <x v="0"/>
    <s v="No"/>
    <s v="Y"/>
    <n v="4"/>
    <n v="-2"/>
    <n v="0"/>
    <x v="11"/>
    <x v="1"/>
    <x v="1"/>
    <n v="0"/>
    <n v="1"/>
    <n v="1283"/>
    <n v="23"/>
    <x v="3"/>
    <x v="0"/>
    <n v="4"/>
    <n v="54"/>
    <n v="3"/>
    <n v="1"/>
    <n v="2"/>
    <x v="360"/>
    <n v="18168"/>
    <n v="9"/>
    <n v="16"/>
    <n v="3"/>
    <n v="4"/>
    <n v="80"/>
    <n v="0"/>
    <n v="6"/>
    <n v="3"/>
    <n v="3"/>
    <n v="2"/>
    <n v="1"/>
    <n v="2"/>
  </r>
  <r>
    <x v="1"/>
    <s v="Travel_Rarely"/>
    <x v="0"/>
    <s v="Current Employees"/>
    <x v="1"/>
    <x v="0"/>
    <x v="372"/>
    <n v="496"/>
    <x v="1"/>
    <x v="4"/>
    <x v="0"/>
    <s v="No"/>
    <s v="Y"/>
    <n v="5"/>
    <n v="-2"/>
    <n v="0"/>
    <x v="10"/>
    <x v="1"/>
    <x v="1"/>
    <n v="0"/>
    <n v="1"/>
    <n v="755"/>
    <n v="9"/>
    <x v="2"/>
    <x v="0"/>
    <n v="3"/>
    <n v="97"/>
    <n v="2"/>
    <n v="2"/>
    <n v="2"/>
    <x v="361"/>
    <n v="19394"/>
    <n v="9"/>
    <n v="19"/>
    <n v="3"/>
    <n v="3"/>
    <n v="80"/>
    <n v="0"/>
    <n v="10"/>
    <n v="3"/>
    <n v="1"/>
    <n v="1"/>
    <n v="0"/>
    <n v="0"/>
  </r>
  <r>
    <x v="1"/>
    <s v="Travel_Rarely"/>
    <x v="2"/>
    <s v="Current Employees"/>
    <x v="1"/>
    <x v="2"/>
    <x v="373"/>
    <n v="497"/>
    <x v="1"/>
    <x v="2"/>
    <x v="2"/>
    <s v="No"/>
    <s v="Y"/>
    <n v="2"/>
    <n v="-2"/>
    <n v="0"/>
    <x v="4"/>
    <x v="1"/>
    <x v="1"/>
    <n v="0"/>
    <n v="1"/>
    <n v="1469"/>
    <n v="1"/>
    <x v="0"/>
    <x v="0"/>
    <n v="4"/>
    <n v="82"/>
    <n v="3"/>
    <n v="1"/>
    <n v="3"/>
    <x v="362"/>
    <n v="17881"/>
    <n v="1"/>
    <n v="11"/>
    <n v="3"/>
    <n v="2"/>
    <n v="80"/>
    <n v="1"/>
    <n v="5"/>
    <n v="3"/>
    <n v="5"/>
    <n v="2"/>
    <n v="0"/>
    <n v="4"/>
  </r>
  <r>
    <x v="1"/>
    <s v="Travel_Rarely"/>
    <x v="2"/>
    <s v="Current Employees"/>
    <x v="0"/>
    <x v="0"/>
    <x v="374"/>
    <n v="498"/>
    <x v="1"/>
    <x v="0"/>
    <x v="0"/>
    <s v="No"/>
    <s v="Y"/>
    <n v="1"/>
    <n v="-2"/>
    <n v="0"/>
    <x v="14"/>
    <x v="1"/>
    <x v="1"/>
    <n v="0"/>
    <n v="1"/>
    <n v="304"/>
    <n v="9"/>
    <x v="2"/>
    <x v="0"/>
    <n v="2"/>
    <n v="92"/>
    <n v="3"/>
    <n v="2"/>
    <n v="2"/>
    <x v="363"/>
    <n v="20750"/>
    <n v="1"/>
    <n v="16"/>
    <n v="3"/>
    <n v="4"/>
    <n v="80"/>
    <n v="0"/>
    <n v="7"/>
    <n v="3"/>
    <n v="7"/>
    <n v="5"/>
    <n v="0"/>
    <n v="7"/>
  </r>
  <r>
    <x v="1"/>
    <s v="Travel_Rarely"/>
    <x v="1"/>
    <s v="Current Employees"/>
    <x v="1"/>
    <x v="1"/>
    <x v="375"/>
    <n v="499"/>
    <x v="1"/>
    <x v="4"/>
    <x v="0"/>
    <s v="No"/>
    <s v="Y"/>
    <n v="2"/>
    <n v="-2"/>
    <n v="0"/>
    <x v="1"/>
    <x v="1"/>
    <x v="1"/>
    <n v="0"/>
    <n v="1"/>
    <n v="1261"/>
    <n v="7"/>
    <x v="3"/>
    <x v="0"/>
    <n v="2"/>
    <n v="31"/>
    <n v="2"/>
    <n v="3"/>
    <n v="3"/>
    <x v="364"/>
    <n v="12066"/>
    <n v="8"/>
    <n v="24"/>
    <n v="4"/>
    <n v="3"/>
    <n v="80"/>
    <n v="0"/>
    <n v="26"/>
    <n v="3"/>
    <n v="5"/>
    <n v="2"/>
    <n v="0"/>
    <n v="0"/>
  </r>
  <r>
    <x v="1"/>
    <s v="Travel_Rarely"/>
    <x v="1"/>
    <s v="Current Employees"/>
    <x v="0"/>
    <x v="0"/>
    <x v="376"/>
    <n v="500"/>
    <x v="0"/>
    <x v="0"/>
    <x v="1"/>
    <s v="No"/>
    <s v="Y"/>
    <n v="2"/>
    <n v="-2"/>
    <n v="0"/>
    <x v="31"/>
    <x v="1"/>
    <x v="1"/>
    <n v="0"/>
    <n v="1"/>
    <n v="1178"/>
    <n v="14"/>
    <x v="0"/>
    <x v="0"/>
    <n v="3"/>
    <n v="87"/>
    <n v="3"/>
    <n v="2"/>
    <n v="2"/>
    <x v="365"/>
    <n v="14862"/>
    <n v="4"/>
    <n v="11"/>
    <n v="3"/>
    <n v="3"/>
    <n v="80"/>
    <n v="1"/>
    <n v="18"/>
    <n v="2"/>
    <n v="7"/>
    <n v="7"/>
    <n v="0"/>
    <n v="7"/>
  </r>
  <r>
    <x v="1"/>
    <s v="Travel_Rarely"/>
    <x v="0"/>
    <s v="Current Employees"/>
    <x v="1"/>
    <x v="0"/>
    <x v="377"/>
    <n v="501"/>
    <x v="0"/>
    <x v="1"/>
    <x v="1"/>
    <s v="No"/>
    <s v="Y"/>
    <n v="3"/>
    <n v="-2"/>
    <n v="0"/>
    <x v="9"/>
    <x v="1"/>
    <x v="1"/>
    <n v="0"/>
    <n v="1"/>
    <n v="329"/>
    <n v="2"/>
    <x v="3"/>
    <x v="0"/>
    <n v="4"/>
    <n v="96"/>
    <n v="3"/>
    <n v="1"/>
    <n v="2"/>
    <x v="366"/>
    <n v="11868"/>
    <n v="4"/>
    <n v="13"/>
    <n v="3"/>
    <n v="2"/>
    <n v="80"/>
    <n v="1"/>
    <n v="6"/>
    <n v="3"/>
    <n v="2"/>
    <n v="2"/>
    <n v="2"/>
    <n v="2"/>
  </r>
  <r>
    <x v="0"/>
    <s v="Non-Travel"/>
    <x v="2"/>
    <s v="Ex-Employees"/>
    <x v="0"/>
    <x v="3"/>
    <x v="378"/>
    <n v="502"/>
    <x v="1"/>
    <x v="0"/>
    <x v="0"/>
    <s v="Yes"/>
    <s v="Y"/>
    <n v="3"/>
    <n v="-2"/>
    <n v="0"/>
    <x v="13"/>
    <x v="0"/>
    <x v="0"/>
    <n v="1"/>
    <n v="0"/>
    <n v="1362"/>
    <n v="19"/>
    <x v="3"/>
    <x v="0"/>
    <n v="1"/>
    <n v="67"/>
    <n v="4"/>
    <n v="2"/>
    <n v="1"/>
    <x v="367"/>
    <n v="4652"/>
    <n v="8"/>
    <n v="13"/>
    <n v="3"/>
    <n v="2"/>
    <n v="80"/>
    <n v="0"/>
    <n v="9"/>
    <n v="2"/>
    <n v="5"/>
    <n v="2"/>
    <n v="0"/>
    <n v="4"/>
  </r>
  <r>
    <x v="1"/>
    <s v="Travel_Rarely"/>
    <x v="3"/>
    <s v="Current Employees"/>
    <x v="1"/>
    <x v="0"/>
    <x v="379"/>
    <n v="505"/>
    <x v="0"/>
    <x v="5"/>
    <x v="0"/>
    <s v="Yes"/>
    <s v="Y"/>
    <n v="2"/>
    <n v="-2"/>
    <n v="0"/>
    <x v="27"/>
    <x v="1"/>
    <x v="1"/>
    <n v="0"/>
    <n v="1"/>
    <n v="1311"/>
    <n v="2"/>
    <x v="3"/>
    <x v="0"/>
    <n v="3"/>
    <n v="97"/>
    <n v="3"/>
    <n v="4"/>
    <n v="2"/>
    <x v="368"/>
    <n v="23258"/>
    <n v="2"/>
    <n v="13"/>
    <n v="3"/>
    <n v="3"/>
    <n v="80"/>
    <n v="0"/>
    <n v="30"/>
    <n v="3"/>
    <n v="5"/>
    <n v="4"/>
    <n v="1"/>
    <n v="2"/>
  </r>
  <r>
    <x v="1"/>
    <s v="Travel_Rarely"/>
    <x v="4"/>
    <s v="Current Employees"/>
    <x v="0"/>
    <x v="3"/>
    <x v="380"/>
    <n v="507"/>
    <x v="0"/>
    <x v="0"/>
    <x v="2"/>
    <s v="Yes"/>
    <s v="Y"/>
    <n v="2"/>
    <n v="-2"/>
    <n v="0"/>
    <x v="17"/>
    <x v="1"/>
    <x v="1"/>
    <n v="0"/>
    <n v="1"/>
    <n v="1371"/>
    <n v="10"/>
    <x v="2"/>
    <x v="0"/>
    <n v="4"/>
    <n v="77"/>
    <n v="3"/>
    <n v="2"/>
    <n v="1"/>
    <x v="369"/>
    <n v="5915"/>
    <n v="1"/>
    <n v="12"/>
    <n v="3"/>
    <n v="4"/>
    <n v="80"/>
    <n v="1"/>
    <n v="5"/>
    <n v="4"/>
    <n v="5"/>
    <n v="2"/>
    <n v="0"/>
    <n v="3"/>
  </r>
  <r>
    <x v="1"/>
    <s v="Travel_Rarely"/>
    <x v="2"/>
    <s v="Current Employees"/>
    <x v="0"/>
    <x v="4"/>
    <x v="381"/>
    <n v="508"/>
    <x v="1"/>
    <x v="6"/>
    <x v="1"/>
    <s v="No"/>
    <s v="Y"/>
    <n v="3"/>
    <n v="-2"/>
    <n v="0"/>
    <x v="7"/>
    <x v="1"/>
    <x v="1"/>
    <n v="0"/>
    <n v="1"/>
    <n v="202"/>
    <n v="2"/>
    <x v="1"/>
    <x v="0"/>
    <n v="4"/>
    <n v="72"/>
    <n v="3"/>
    <n v="1"/>
    <n v="4"/>
    <x v="370"/>
    <n v="17434"/>
    <n v="1"/>
    <n v="18"/>
    <n v="3"/>
    <n v="1"/>
    <n v="80"/>
    <n v="1"/>
    <n v="1"/>
    <n v="3"/>
    <n v="1"/>
    <n v="0"/>
    <n v="0"/>
    <n v="0"/>
  </r>
  <r>
    <x v="0"/>
    <s v="Travel_Frequently"/>
    <x v="2"/>
    <s v="Ex-Employees"/>
    <x v="1"/>
    <x v="4"/>
    <x v="382"/>
    <n v="510"/>
    <x v="1"/>
    <x v="1"/>
    <x v="0"/>
    <s v="No"/>
    <s v="Y"/>
    <n v="2"/>
    <n v="-2"/>
    <n v="0"/>
    <x v="25"/>
    <x v="0"/>
    <x v="0"/>
    <n v="1"/>
    <n v="0"/>
    <n v="575"/>
    <n v="3"/>
    <x v="1"/>
    <x v="0"/>
    <n v="4"/>
    <n v="73"/>
    <n v="3"/>
    <n v="1"/>
    <n v="4"/>
    <x v="371"/>
    <n v="6582"/>
    <n v="0"/>
    <n v="22"/>
    <n v="4"/>
    <n v="3"/>
    <n v="80"/>
    <n v="0"/>
    <n v="7"/>
    <n v="3"/>
    <n v="6"/>
    <n v="4"/>
    <n v="0"/>
    <n v="4"/>
  </r>
  <r>
    <x v="1"/>
    <s v="Travel_Rarely"/>
    <x v="4"/>
    <s v="Current Employees"/>
    <x v="1"/>
    <x v="2"/>
    <x v="383"/>
    <n v="511"/>
    <x v="0"/>
    <x v="1"/>
    <x v="1"/>
    <s v="No"/>
    <s v="Y"/>
    <n v="1"/>
    <n v="-2"/>
    <n v="0"/>
    <x v="15"/>
    <x v="1"/>
    <x v="1"/>
    <n v="0"/>
    <n v="1"/>
    <n v="253"/>
    <n v="11"/>
    <x v="3"/>
    <x v="0"/>
    <n v="1"/>
    <n v="43"/>
    <n v="3"/>
    <n v="1"/>
    <n v="3"/>
    <x v="372"/>
    <n v="24440"/>
    <n v="1"/>
    <n v="13"/>
    <n v="3"/>
    <n v="4"/>
    <n v="80"/>
    <n v="1"/>
    <n v="2"/>
    <n v="3"/>
    <n v="2"/>
    <n v="1"/>
    <n v="1"/>
    <n v="2"/>
  </r>
  <r>
    <x v="1"/>
    <s v="Travel_Rarely"/>
    <x v="0"/>
    <s v="Current Employees"/>
    <x v="0"/>
    <x v="2"/>
    <x v="384"/>
    <n v="513"/>
    <x v="1"/>
    <x v="0"/>
    <x v="1"/>
    <s v="No"/>
    <s v="Y"/>
    <n v="2"/>
    <n v="-2"/>
    <n v="0"/>
    <x v="9"/>
    <x v="1"/>
    <x v="1"/>
    <n v="0"/>
    <n v="1"/>
    <n v="164"/>
    <n v="2"/>
    <x v="0"/>
    <x v="0"/>
    <n v="2"/>
    <n v="61"/>
    <n v="2"/>
    <n v="3"/>
    <n v="3"/>
    <x v="373"/>
    <n v="3809"/>
    <n v="1"/>
    <n v="13"/>
    <n v="3"/>
    <n v="2"/>
    <n v="80"/>
    <n v="2"/>
    <n v="10"/>
    <n v="3"/>
    <n v="10"/>
    <n v="9"/>
    <n v="9"/>
    <n v="0"/>
  </r>
  <r>
    <x v="0"/>
    <s v="Travel_Frequently"/>
    <x v="2"/>
    <s v="Ex-Employees"/>
    <x v="1"/>
    <x v="4"/>
    <x v="385"/>
    <n v="514"/>
    <x v="1"/>
    <x v="1"/>
    <x v="0"/>
    <s v="Yes"/>
    <s v="Y"/>
    <n v="4"/>
    <n v="-2"/>
    <n v="0"/>
    <x v="7"/>
    <x v="0"/>
    <x v="0"/>
    <n v="1"/>
    <n v="0"/>
    <n v="464"/>
    <n v="4"/>
    <x v="3"/>
    <x v="0"/>
    <n v="4"/>
    <n v="40"/>
    <n v="3"/>
    <n v="1"/>
    <n v="4"/>
    <x v="374"/>
    <n v="3427"/>
    <n v="9"/>
    <n v="23"/>
    <n v="4"/>
    <n v="3"/>
    <n v="80"/>
    <n v="0"/>
    <n v="3"/>
    <n v="3"/>
    <n v="1"/>
    <n v="0"/>
    <n v="0"/>
    <n v="0"/>
  </r>
  <r>
    <x v="1"/>
    <s v="Travel_Rarely"/>
    <x v="0"/>
    <s v="Current Employees"/>
    <x v="1"/>
    <x v="0"/>
    <x v="386"/>
    <n v="515"/>
    <x v="0"/>
    <x v="2"/>
    <x v="2"/>
    <s v="No"/>
    <s v="Y"/>
    <n v="2"/>
    <n v="-2"/>
    <n v="0"/>
    <x v="2"/>
    <x v="1"/>
    <x v="1"/>
    <n v="0"/>
    <n v="1"/>
    <n v="1107"/>
    <n v="14"/>
    <x v="3"/>
    <x v="0"/>
    <n v="4"/>
    <n v="95"/>
    <n v="3"/>
    <n v="1"/>
    <n v="2"/>
    <x v="375"/>
    <n v="26914"/>
    <n v="1"/>
    <n v="12"/>
    <n v="3"/>
    <n v="3"/>
    <n v="80"/>
    <n v="1"/>
    <n v="18"/>
    <n v="2"/>
    <n v="18"/>
    <n v="7"/>
    <n v="12"/>
    <n v="17"/>
  </r>
  <r>
    <x v="1"/>
    <s v="Travel_Rarely"/>
    <x v="0"/>
    <s v="Current Employees"/>
    <x v="0"/>
    <x v="3"/>
    <x v="387"/>
    <n v="516"/>
    <x v="0"/>
    <x v="0"/>
    <x v="2"/>
    <s v="No"/>
    <s v="Y"/>
    <n v="5"/>
    <n v="-2"/>
    <n v="0"/>
    <x v="32"/>
    <x v="1"/>
    <x v="1"/>
    <n v="0"/>
    <n v="1"/>
    <n v="759"/>
    <n v="2"/>
    <x v="0"/>
    <x v="0"/>
    <n v="4"/>
    <n v="46"/>
    <n v="3"/>
    <n v="2"/>
    <n v="1"/>
    <x v="376"/>
    <n v="22553"/>
    <n v="7"/>
    <n v="12"/>
    <n v="3"/>
    <n v="3"/>
    <n v="80"/>
    <n v="2"/>
    <n v="8"/>
    <n v="3"/>
    <n v="5"/>
    <n v="4"/>
    <n v="1"/>
    <n v="3"/>
  </r>
  <r>
    <x v="1"/>
    <s v="Travel_Rarely"/>
    <x v="0"/>
    <s v="Current Employees"/>
    <x v="1"/>
    <x v="0"/>
    <x v="388"/>
    <n v="517"/>
    <x v="0"/>
    <x v="2"/>
    <x v="2"/>
    <s v="No"/>
    <s v="Y"/>
    <n v="5"/>
    <n v="-2"/>
    <n v="0"/>
    <x v="19"/>
    <x v="1"/>
    <x v="1"/>
    <n v="0"/>
    <n v="1"/>
    <n v="201"/>
    <n v="1"/>
    <x v="2"/>
    <x v="0"/>
    <n v="2"/>
    <n v="95"/>
    <n v="3"/>
    <n v="1"/>
    <n v="2"/>
    <x v="377"/>
    <n v="20490"/>
    <n v="3"/>
    <n v="16"/>
    <n v="3"/>
    <n v="2"/>
    <n v="80"/>
    <n v="1"/>
    <n v="8"/>
    <n v="3"/>
    <n v="5"/>
    <n v="2"/>
    <n v="1"/>
    <n v="2"/>
  </r>
  <r>
    <x v="1"/>
    <s v="Travel_Rarely"/>
    <x v="0"/>
    <s v="Current Employees"/>
    <x v="1"/>
    <x v="0"/>
    <x v="389"/>
    <n v="518"/>
    <x v="1"/>
    <x v="3"/>
    <x v="0"/>
    <s v="Yes"/>
    <s v="Y"/>
    <n v="2"/>
    <n v="-2"/>
    <n v="0"/>
    <x v="2"/>
    <x v="1"/>
    <x v="1"/>
    <n v="0"/>
    <n v="1"/>
    <n v="1305"/>
    <n v="10"/>
    <x v="2"/>
    <x v="0"/>
    <n v="3"/>
    <n v="49"/>
    <n v="3"/>
    <n v="2"/>
    <n v="2"/>
    <x v="378"/>
    <n v="21123"/>
    <n v="2"/>
    <n v="12"/>
    <n v="3"/>
    <n v="4"/>
    <n v="80"/>
    <n v="0"/>
    <n v="18"/>
    <n v="2"/>
    <n v="1"/>
    <n v="0"/>
    <n v="0"/>
    <n v="1"/>
  </r>
  <r>
    <x v="1"/>
    <s v="Travel_Rarely"/>
    <x v="0"/>
    <s v="Current Employees"/>
    <x v="1"/>
    <x v="0"/>
    <x v="390"/>
    <n v="520"/>
    <x v="1"/>
    <x v="7"/>
    <x v="2"/>
    <s v="No"/>
    <s v="Y"/>
    <n v="3"/>
    <n v="-2"/>
    <n v="0"/>
    <x v="23"/>
    <x v="1"/>
    <x v="1"/>
    <n v="0"/>
    <n v="1"/>
    <n v="982"/>
    <n v="12"/>
    <x v="3"/>
    <x v="0"/>
    <n v="1"/>
    <n v="59"/>
    <n v="2"/>
    <n v="4"/>
    <n v="2"/>
    <x v="379"/>
    <n v="4345"/>
    <n v="1"/>
    <n v="11"/>
    <n v="3"/>
    <n v="3"/>
    <n v="80"/>
    <n v="1"/>
    <n v="25"/>
    <n v="3"/>
    <n v="25"/>
    <n v="10"/>
    <n v="3"/>
    <n v="9"/>
  </r>
  <r>
    <x v="1"/>
    <s v="Travel_Rarely"/>
    <x v="0"/>
    <s v="Current Employees"/>
    <x v="1"/>
    <x v="2"/>
    <x v="391"/>
    <n v="521"/>
    <x v="0"/>
    <x v="2"/>
    <x v="1"/>
    <s v="No"/>
    <s v="Y"/>
    <n v="3"/>
    <n v="-2"/>
    <n v="0"/>
    <x v="32"/>
    <x v="1"/>
    <x v="1"/>
    <n v="0"/>
    <n v="1"/>
    <n v="555"/>
    <n v="2"/>
    <x v="3"/>
    <x v="0"/>
    <n v="2"/>
    <n v="78"/>
    <n v="2"/>
    <n v="2"/>
    <n v="3"/>
    <x v="380"/>
    <n v="13436"/>
    <n v="6"/>
    <n v="22"/>
    <n v="4"/>
    <n v="2"/>
    <n v="80"/>
    <n v="1"/>
    <n v="20"/>
    <n v="3"/>
    <n v="1"/>
    <n v="0"/>
    <n v="0"/>
    <n v="0"/>
  </r>
  <r>
    <x v="1"/>
    <s v="Travel_Rarely"/>
    <x v="1"/>
    <s v="Current Employees"/>
    <x v="1"/>
    <x v="2"/>
    <x v="392"/>
    <n v="522"/>
    <x v="1"/>
    <x v="7"/>
    <x v="1"/>
    <s v="No"/>
    <s v="Y"/>
    <n v="4"/>
    <n v="-2"/>
    <n v="0"/>
    <x v="33"/>
    <x v="1"/>
    <x v="1"/>
    <n v="0"/>
    <n v="1"/>
    <n v="821"/>
    <n v="5"/>
    <x v="0"/>
    <x v="0"/>
    <n v="1"/>
    <n v="86"/>
    <n v="3"/>
    <n v="5"/>
    <n v="3"/>
    <x v="381"/>
    <n v="8509"/>
    <n v="4"/>
    <n v="11"/>
    <n v="3"/>
    <n v="3"/>
    <n v="80"/>
    <n v="1"/>
    <n v="24"/>
    <n v="2"/>
    <n v="4"/>
    <n v="2"/>
    <n v="1"/>
    <n v="2"/>
  </r>
  <r>
    <x v="1"/>
    <s v="Non-Travel"/>
    <x v="2"/>
    <s v="Current Employees"/>
    <x v="0"/>
    <x v="3"/>
    <x v="393"/>
    <n v="523"/>
    <x v="0"/>
    <x v="0"/>
    <x v="1"/>
    <s v="No"/>
    <s v="Y"/>
    <n v="3"/>
    <n v="-2"/>
    <n v="0"/>
    <x v="13"/>
    <x v="1"/>
    <x v="1"/>
    <n v="0"/>
    <n v="1"/>
    <n v="1381"/>
    <n v="4"/>
    <x v="2"/>
    <x v="0"/>
    <n v="3"/>
    <n v="72"/>
    <n v="3"/>
    <n v="2"/>
    <n v="1"/>
    <x v="382"/>
    <n v="12740"/>
    <n v="9"/>
    <n v="15"/>
    <n v="3"/>
    <n v="1"/>
    <n v="80"/>
    <n v="1"/>
    <n v="6"/>
    <n v="3"/>
    <n v="3"/>
    <n v="2"/>
    <n v="1"/>
    <n v="2"/>
  </r>
  <r>
    <x v="1"/>
    <s v="Travel_Rarely"/>
    <x v="2"/>
    <s v="Current Employees"/>
    <x v="1"/>
    <x v="2"/>
    <x v="394"/>
    <n v="524"/>
    <x v="0"/>
    <x v="3"/>
    <x v="1"/>
    <s v="No"/>
    <s v="Y"/>
    <n v="5"/>
    <n v="-2"/>
    <n v="0"/>
    <x v="12"/>
    <x v="1"/>
    <x v="1"/>
    <n v="0"/>
    <n v="1"/>
    <n v="480"/>
    <n v="7"/>
    <x v="0"/>
    <x v="0"/>
    <n v="2"/>
    <n v="31"/>
    <n v="3"/>
    <n v="2"/>
    <n v="3"/>
    <x v="383"/>
    <n v="4156"/>
    <n v="1"/>
    <n v="12"/>
    <n v="3"/>
    <n v="2"/>
    <n v="80"/>
    <n v="1"/>
    <n v="13"/>
    <n v="1"/>
    <n v="13"/>
    <n v="10"/>
    <n v="3"/>
    <n v="12"/>
  </r>
  <r>
    <x v="1"/>
    <s v="Travel_Frequently"/>
    <x v="0"/>
    <s v="Current Employees"/>
    <x v="1"/>
    <x v="2"/>
    <x v="395"/>
    <n v="525"/>
    <x v="1"/>
    <x v="2"/>
    <x v="1"/>
    <s v="No"/>
    <s v="Y"/>
    <n v="1"/>
    <n v="-2"/>
    <n v="0"/>
    <x v="23"/>
    <x v="1"/>
    <x v="1"/>
    <n v="0"/>
    <n v="1"/>
    <n v="313"/>
    <n v="21"/>
    <x v="3"/>
    <x v="0"/>
    <n v="4"/>
    <n v="61"/>
    <n v="3"/>
    <n v="1"/>
    <n v="4"/>
    <x v="384"/>
    <n v="15238"/>
    <n v="7"/>
    <n v="20"/>
    <n v="4"/>
    <n v="1"/>
    <n v="80"/>
    <n v="1"/>
    <n v="8"/>
    <n v="3"/>
    <n v="3"/>
    <n v="2"/>
    <n v="1"/>
    <n v="2"/>
  </r>
  <r>
    <x v="1"/>
    <s v="Travel_Rarely"/>
    <x v="0"/>
    <s v="Current Employees"/>
    <x v="1"/>
    <x v="1"/>
    <x v="396"/>
    <n v="526"/>
    <x v="0"/>
    <x v="4"/>
    <x v="2"/>
    <s v="Yes"/>
    <s v="Y"/>
    <n v="3"/>
    <n v="-2"/>
    <n v="0"/>
    <x v="23"/>
    <x v="1"/>
    <x v="1"/>
    <n v="0"/>
    <n v="1"/>
    <n v="1473"/>
    <n v="8"/>
    <x v="2"/>
    <x v="0"/>
    <n v="3"/>
    <n v="74"/>
    <n v="3"/>
    <n v="2"/>
    <n v="3"/>
    <x v="385"/>
    <n v="2227"/>
    <n v="4"/>
    <n v="14"/>
    <n v="3"/>
    <n v="4"/>
    <n v="80"/>
    <n v="0"/>
    <n v="8"/>
    <n v="3"/>
    <n v="5"/>
    <n v="2"/>
    <n v="0"/>
    <n v="2"/>
  </r>
  <r>
    <x v="1"/>
    <s v="Travel_Rarely"/>
    <x v="2"/>
    <s v="Current Employees"/>
    <x v="0"/>
    <x v="0"/>
    <x v="397"/>
    <n v="527"/>
    <x v="0"/>
    <x v="0"/>
    <x v="0"/>
    <s v="Yes"/>
    <s v="Y"/>
    <n v="3"/>
    <n v="-2"/>
    <n v="0"/>
    <x v="36"/>
    <x v="1"/>
    <x v="1"/>
    <n v="0"/>
    <n v="1"/>
    <n v="891"/>
    <n v="4"/>
    <x v="0"/>
    <x v="0"/>
    <n v="2"/>
    <n v="99"/>
    <n v="2"/>
    <n v="2"/>
    <n v="2"/>
    <x v="386"/>
    <n v="12090"/>
    <n v="1"/>
    <n v="11"/>
    <n v="3"/>
    <n v="2"/>
    <n v="80"/>
    <n v="0"/>
    <n v="5"/>
    <n v="3"/>
    <n v="5"/>
    <n v="4"/>
    <n v="1"/>
    <n v="3"/>
  </r>
  <r>
    <x v="1"/>
    <s v="Non-Travel"/>
    <x v="0"/>
    <s v="Current Employees"/>
    <x v="1"/>
    <x v="2"/>
    <x v="398"/>
    <n v="529"/>
    <x v="0"/>
    <x v="1"/>
    <x v="1"/>
    <s v="Yes"/>
    <s v="Y"/>
    <n v="2"/>
    <n v="-2"/>
    <n v="0"/>
    <x v="2"/>
    <x v="1"/>
    <x v="1"/>
    <n v="0"/>
    <n v="1"/>
    <n v="1063"/>
    <n v="25"/>
    <x v="4"/>
    <x v="0"/>
    <n v="2"/>
    <n v="72"/>
    <n v="3"/>
    <n v="2"/>
    <n v="3"/>
    <x v="387"/>
    <n v="23866"/>
    <n v="3"/>
    <n v="15"/>
    <n v="3"/>
    <n v="1"/>
    <n v="80"/>
    <n v="2"/>
    <n v="15"/>
    <n v="3"/>
    <n v="13"/>
    <n v="11"/>
    <n v="10"/>
    <n v="7"/>
  </r>
  <r>
    <x v="1"/>
    <s v="Travel_Rarely"/>
    <x v="2"/>
    <s v="Current Employees"/>
    <x v="1"/>
    <x v="0"/>
    <x v="399"/>
    <n v="530"/>
    <x v="1"/>
    <x v="2"/>
    <x v="1"/>
    <s v="No"/>
    <s v="Y"/>
    <n v="3"/>
    <n v="-2"/>
    <n v="0"/>
    <x v="12"/>
    <x v="1"/>
    <x v="1"/>
    <n v="0"/>
    <n v="1"/>
    <n v="329"/>
    <n v="1"/>
    <x v="0"/>
    <x v="0"/>
    <n v="4"/>
    <n v="98"/>
    <n v="2"/>
    <n v="1"/>
    <n v="2"/>
    <x v="388"/>
    <n v="16193"/>
    <n v="1"/>
    <n v="12"/>
    <n v="3"/>
    <n v="3"/>
    <n v="80"/>
    <n v="1"/>
    <n v="4"/>
    <n v="3"/>
    <n v="4"/>
    <n v="2"/>
    <n v="3"/>
    <n v="2"/>
  </r>
  <r>
    <x v="1"/>
    <s v="Travel_Frequently"/>
    <x v="0"/>
    <s v="Current Employees"/>
    <x v="1"/>
    <x v="0"/>
    <x v="400"/>
    <n v="531"/>
    <x v="1"/>
    <x v="5"/>
    <x v="2"/>
    <s v="Yes"/>
    <s v="Y"/>
    <n v="3"/>
    <n v="-2"/>
    <n v="0"/>
    <x v="22"/>
    <x v="1"/>
    <x v="1"/>
    <n v="0"/>
    <n v="1"/>
    <n v="1218"/>
    <n v="1"/>
    <x v="1"/>
    <x v="0"/>
    <n v="2"/>
    <n v="52"/>
    <n v="3"/>
    <n v="5"/>
    <n v="2"/>
    <x v="389"/>
    <n v="8213"/>
    <n v="1"/>
    <n v="14"/>
    <n v="3"/>
    <n v="3"/>
    <n v="80"/>
    <n v="1"/>
    <n v="21"/>
    <n v="3"/>
    <n v="21"/>
    <n v="8"/>
    <n v="1"/>
    <n v="6"/>
  </r>
  <r>
    <x v="1"/>
    <s v="Travel_Frequently"/>
    <x v="3"/>
    <s v="Current Employees"/>
    <x v="0"/>
    <x v="0"/>
    <x v="401"/>
    <n v="532"/>
    <x v="0"/>
    <x v="0"/>
    <x v="1"/>
    <s v="No"/>
    <s v="Y"/>
    <n v="0"/>
    <n v="-2"/>
    <n v="0"/>
    <x v="29"/>
    <x v="1"/>
    <x v="1"/>
    <n v="0"/>
    <n v="1"/>
    <n v="906"/>
    <n v="6"/>
    <x v="3"/>
    <x v="0"/>
    <n v="3"/>
    <n v="86"/>
    <n v="4"/>
    <n v="4"/>
    <n v="2"/>
    <x v="390"/>
    <n v="18256"/>
    <n v="9"/>
    <n v="11"/>
    <n v="3"/>
    <n v="4"/>
    <n v="80"/>
    <n v="3"/>
    <n v="36"/>
    <n v="2"/>
    <n v="7"/>
    <n v="7"/>
    <n v="7"/>
    <n v="7"/>
  </r>
  <r>
    <x v="1"/>
    <s v="Travel_Rarely"/>
    <x v="2"/>
    <s v="Current Employees"/>
    <x v="0"/>
    <x v="4"/>
    <x v="402"/>
    <n v="533"/>
    <x v="0"/>
    <x v="0"/>
    <x v="0"/>
    <s v="No"/>
    <s v="Y"/>
    <n v="6"/>
    <n v="-2"/>
    <n v="0"/>
    <x v="7"/>
    <x v="1"/>
    <x v="1"/>
    <n v="0"/>
    <n v="1"/>
    <n v="1082"/>
    <n v="12"/>
    <x v="3"/>
    <x v="0"/>
    <n v="4"/>
    <n v="83"/>
    <n v="3"/>
    <n v="2"/>
    <n v="4"/>
    <x v="391"/>
    <n v="19558"/>
    <n v="0"/>
    <n v="11"/>
    <n v="3"/>
    <n v="2"/>
    <n v="80"/>
    <n v="0"/>
    <n v="6"/>
    <n v="3"/>
    <n v="5"/>
    <n v="4"/>
    <n v="4"/>
    <n v="4"/>
  </r>
  <r>
    <x v="1"/>
    <s v="Travel_Rarely"/>
    <x v="0"/>
    <s v="Current Employees"/>
    <x v="0"/>
    <x v="3"/>
    <x v="403"/>
    <n v="534"/>
    <x v="1"/>
    <x v="0"/>
    <x v="1"/>
    <s v="No"/>
    <s v="Y"/>
    <n v="2"/>
    <n v="-2"/>
    <n v="0"/>
    <x v="0"/>
    <x v="1"/>
    <x v="1"/>
    <n v="0"/>
    <n v="1"/>
    <n v="645"/>
    <n v="1"/>
    <x v="3"/>
    <x v="0"/>
    <n v="2"/>
    <n v="49"/>
    <n v="4"/>
    <n v="3"/>
    <n v="1"/>
    <x v="392"/>
    <n v="19566"/>
    <n v="1"/>
    <n v="16"/>
    <n v="3"/>
    <n v="3"/>
    <n v="80"/>
    <n v="1"/>
    <n v="10"/>
    <n v="3"/>
    <n v="10"/>
    <n v="7"/>
    <n v="0"/>
    <n v="7"/>
  </r>
  <r>
    <x v="1"/>
    <s v="Travel_Rarely"/>
    <x v="2"/>
    <s v="Current Employees"/>
    <x v="1"/>
    <x v="2"/>
    <x v="404"/>
    <n v="536"/>
    <x v="1"/>
    <x v="2"/>
    <x v="2"/>
    <s v="No"/>
    <s v="Y"/>
    <n v="2"/>
    <n v="-2"/>
    <n v="0"/>
    <x v="14"/>
    <x v="1"/>
    <x v="1"/>
    <n v="0"/>
    <n v="1"/>
    <n v="1300"/>
    <n v="17"/>
    <x v="0"/>
    <x v="0"/>
    <n v="3"/>
    <n v="79"/>
    <n v="3"/>
    <n v="2"/>
    <n v="3"/>
    <x v="393"/>
    <n v="13535"/>
    <n v="1"/>
    <n v="12"/>
    <n v="3"/>
    <n v="4"/>
    <n v="80"/>
    <n v="1"/>
    <n v="10"/>
    <n v="3"/>
    <n v="10"/>
    <n v="0"/>
    <n v="1"/>
    <n v="8"/>
  </r>
  <r>
    <x v="0"/>
    <s v="Travel_Rarely"/>
    <x v="2"/>
    <s v="Ex-Employees"/>
    <x v="1"/>
    <x v="2"/>
    <x v="405"/>
    <n v="538"/>
    <x v="1"/>
    <x v="2"/>
    <x v="1"/>
    <s v="No"/>
    <s v="Y"/>
    <n v="5"/>
    <n v="-2"/>
    <n v="0"/>
    <x v="36"/>
    <x v="0"/>
    <x v="0"/>
    <n v="1"/>
    <n v="0"/>
    <n v="688"/>
    <n v="3"/>
    <x v="3"/>
    <x v="0"/>
    <n v="1"/>
    <n v="91"/>
    <n v="3"/>
    <n v="1"/>
    <n v="3"/>
    <x v="394"/>
    <n v="9396"/>
    <n v="5"/>
    <n v="13"/>
    <n v="3"/>
    <n v="3"/>
    <n v="80"/>
    <n v="1"/>
    <n v="6"/>
    <n v="3"/>
    <n v="2"/>
    <n v="2"/>
    <n v="0"/>
    <n v="2"/>
  </r>
  <r>
    <x v="1"/>
    <s v="Travel_Rarely"/>
    <x v="1"/>
    <s v="Current Employees"/>
    <x v="1"/>
    <x v="2"/>
    <x v="406"/>
    <n v="543"/>
    <x v="1"/>
    <x v="3"/>
    <x v="1"/>
    <s v="Yes"/>
    <s v="Y"/>
    <n v="4"/>
    <n v="-2"/>
    <n v="0"/>
    <x v="39"/>
    <x v="1"/>
    <x v="1"/>
    <n v="0"/>
    <n v="1"/>
    <n v="319"/>
    <n v="3"/>
    <x v="3"/>
    <x v="0"/>
    <n v="4"/>
    <n v="39"/>
    <n v="2"/>
    <n v="3"/>
    <n v="3"/>
    <x v="395"/>
    <n v="19609"/>
    <n v="2"/>
    <n v="14"/>
    <n v="3"/>
    <n v="3"/>
    <n v="80"/>
    <n v="0"/>
    <n v="28"/>
    <n v="3"/>
    <n v="5"/>
    <n v="4"/>
    <n v="0"/>
    <n v="4"/>
  </r>
  <r>
    <x v="1"/>
    <s v="Travel_Rarely"/>
    <x v="1"/>
    <s v="Current Employees"/>
    <x v="1"/>
    <x v="0"/>
    <x v="407"/>
    <n v="544"/>
    <x v="1"/>
    <x v="1"/>
    <x v="1"/>
    <s v="No"/>
    <s v="Y"/>
    <n v="3"/>
    <n v="-2"/>
    <n v="0"/>
    <x v="28"/>
    <x v="1"/>
    <x v="1"/>
    <n v="0"/>
    <n v="1"/>
    <n v="192"/>
    <n v="10"/>
    <x v="0"/>
    <x v="0"/>
    <n v="1"/>
    <n v="69"/>
    <n v="3"/>
    <n v="1"/>
    <n v="2"/>
    <x v="396"/>
    <n v="9655"/>
    <n v="3"/>
    <n v="21"/>
    <n v="4"/>
    <n v="4"/>
    <n v="80"/>
    <n v="2"/>
    <n v="8"/>
    <n v="2"/>
    <n v="2"/>
    <n v="2"/>
    <n v="0"/>
    <n v="2"/>
  </r>
  <r>
    <x v="1"/>
    <s v="Travel_Rarely"/>
    <x v="1"/>
    <s v="Current Employees"/>
    <x v="1"/>
    <x v="0"/>
    <x v="408"/>
    <n v="546"/>
    <x v="0"/>
    <x v="5"/>
    <x v="1"/>
    <s v="No"/>
    <s v="Y"/>
    <n v="2"/>
    <n v="-2"/>
    <n v="0"/>
    <x v="39"/>
    <x v="1"/>
    <x v="1"/>
    <n v="0"/>
    <n v="1"/>
    <n v="1490"/>
    <n v="4"/>
    <x v="0"/>
    <x v="0"/>
    <n v="4"/>
    <n v="30"/>
    <n v="3"/>
    <n v="4"/>
    <n v="2"/>
    <x v="397"/>
    <n v="10310"/>
    <n v="2"/>
    <n v="13"/>
    <n v="3"/>
    <n v="4"/>
    <n v="80"/>
    <n v="0"/>
    <n v="31"/>
    <n v="1"/>
    <n v="5"/>
    <n v="2"/>
    <n v="1"/>
    <n v="4"/>
  </r>
  <r>
    <x v="1"/>
    <s v="Travel_Frequently"/>
    <x v="0"/>
    <s v="Current Employees"/>
    <x v="1"/>
    <x v="0"/>
    <x v="409"/>
    <n v="547"/>
    <x v="0"/>
    <x v="1"/>
    <x v="2"/>
    <s v="No"/>
    <s v="Y"/>
    <n v="3"/>
    <n v="-2"/>
    <n v="0"/>
    <x v="19"/>
    <x v="1"/>
    <x v="1"/>
    <n v="0"/>
    <n v="1"/>
    <n v="532"/>
    <n v="29"/>
    <x v="0"/>
    <x v="0"/>
    <n v="1"/>
    <n v="92"/>
    <n v="3"/>
    <n v="2"/>
    <n v="2"/>
    <x v="398"/>
    <n v="12932"/>
    <n v="2"/>
    <n v="11"/>
    <n v="3"/>
    <n v="2"/>
    <n v="80"/>
    <n v="1"/>
    <n v="19"/>
    <n v="3"/>
    <n v="5"/>
    <n v="4"/>
    <n v="0"/>
    <n v="2"/>
  </r>
  <r>
    <x v="1"/>
    <s v="Travel_Rarely"/>
    <x v="2"/>
    <s v="Current Employees"/>
    <x v="1"/>
    <x v="0"/>
    <x v="410"/>
    <n v="548"/>
    <x v="0"/>
    <x v="3"/>
    <x v="0"/>
    <s v="No"/>
    <s v="Y"/>
    <n v="2"/>
    <n v="-2"/>
    <n v="0"/>
    <x v="7"/>
    <x v="1"/>
    <x v="1"/>
    <n v="0"/>
    <n v="1"/>
    <n v="317"/>
    <n v="2"/>
    <x v="3"/>
    <x v="0"/>
    <n v="3"/>
    <n v="43"/>
    <n v="1"/>
    <n v="2"/>
    <n v="2"/>
    <x v="399"/>
    <n v="24793"/>
    <n v="2"/>
    <n v="20"/>
    <n v="4"/>
    <n v="3"/>
    <n v="80"/>
    <n v="0"/>
    <n v="11"/>
    <n v="3"/>
    <n v="5"/>
    <n v="4"/>
    <n v="0"/>
    <n v="2"/>
  </r>
  <r>
    <x v="1"/>
    <s v="Travel_Rarely"/>
    <x v="3"/>
    <s v="Current Employees"/>
    <x v="1"/>
    <x v="0"/>
    <x v="411"/>
    <n v="549"/>
    <x v="0"/>
    <x v="5"/>
    <x v="1"/>
    <s v="No"/>
    <s v="Y"/>
    <n v="5"/>
    <n v="-2"/>
    <n v="0"/>
    <x v="42"/>
    <x v="1"/>
    <x v="1"/>
    <n v="0"/>
    <n v="1"/>
    <n v="422"/>
    <n v="7"/>
    <x v="3"/>
    <x v="0"/>
    <n v="1"/>
    <n v="41"/>
    <n v="3"/>
    <n v="5"/>
    <n v="2"/>
    <x v="400"/>
    <n v="3854"/>
    <n v="5"/>
    <n v="11"/>
    <n v="3"/>
    <n v="4"/>
    <n v="80"/>
    <n v="0"/>
    <n v="33"/>
    <n v="1"/>
    <n v="29"/>
    <n v="8"/>
    <n v="11"/>
    <n v="10"/>
  </r>
  <r>
    <x v="1"/>
    <s v="Travel_Rarely"/>
    <x v="1"/>
    <s v="Current Employees"/>
    <x v="1"/>
    <x v="2"/>
    <x v="412"/>
    <n v="550"/>
    <x v="0"/>
    <x v="3"/>
    <x v="2"/>
    <s v="No"/>
    <s v="Y"/>
    <n v="5"/>
    <n v="-2"/>
    <n v="0"/>
    <x v="21"/>
    <x v="1"/>
    <x v="1"/>
    <n v="0"/>
    <n v="1"/>
    <n v="1485"/>
    <n v="18"/>
    <x v="3"/>
    <x v="0"/>
    <n v="3"/>
    <n v="87"/>
    <n v="3"/>
    <n v="2"/>
    <n v="3"/>
    <x v="401"/>
    <n v="26314"/>
    <n v="2"/>
    <n v="14"/>
    <n v="3"/>
    <n v="3"/>
    <n v="80"/>
    <n v="1"/>
    <n v="19"/>
    <n v="2"/>
    <n v="10"/>
    <n v="7"/>
    <n v="0"/>
    <n v="8"/>
  </r>
  <r>
    <x v="1"/>
    <s v="Travel_Frequently"/>
    <x v="0"/>
    <s v="Current Employees"/>
    <x v="1"/>
    <x v="4"/>
    <x v="413"/>
    <n v="551"/>
    <x v="0"/>
    <x v="4"/>
    <x v="1"/>
    <s v="No"/>
    <s v="Y"/>
    <n v="4"/>
    <n v="-2"/>
    <n v="0"/>
    <x v="19"/>
    <x v="1"/>
    <x v="1"/>
    <n v="0"/>
    <n v="1"/>
    <n v="1368"/>
    <n v="28"/>
    <x v="2"/>
    <x v="0"/>
    <n v="4"/>
    <n v="88"/>
    <n v="2"/>
    <n v="2"/>
    <n v="4"/>
    <x v="402"/>
    <n v="4386"/>
    <n v="0"/>
    <n v="11"/>
    <n v="3"/>
    <n v="4"/>
    <n v="80"/>
    <n v="3"/>
    <n v="7"/>
    <n v="4"/>
    <n v="6"/>
    <n v="5"/>
    <n v="0"/>
    <n v="4"/>
  </r>
  <r>
    <x v="0"/>
    <s v="Travel_Rarely"/>
    <x v="4"/>
    <s v="Ex-Employees"/>
    <x v="0"/>
    <x v="4"/>
    <x v="414"/>
    <n v="554"/>
    <x v="0"/>
    <x v="6"/>
    <x v="0"/>
    <s v="Yes"/>
    <s v="Y"/>
    <n v="4"/>
    <n v="-2"/>
    <n v="0"/>
    <x v="17"/>
    <x v="0"/>
    <x v="0"/>
    <n v="1"/>
    <n v="0"/>
    <n v="1448"/>
    <n v="1"/>
    <x v="1"/>
    <x v="0"/>
    <n v="4"/>
    <n v="62"/>
    <n v="3"/>
    <n v="1"/>
    <n v="4"/>
    <x v="403"/>
    <n v="21972"/>
    <n v="1"/>
    <n v="16"/>
    <n v="3"/>
    <n v="2"/>
    <n v="80"/>
    <n v="0"/>
    <n v="6"/>
    <n v="3"/>
    <n v="5"/>
    <n v="3"/>
    <n v="1"/>
    <n v="4"/>
  </r>
  <r>
    <x v="0"/>
    <s v="Travel_Frequently"/>
    <x v="2"/>
    <s v="Ex-Employees"/>
    <x v="0"/>
    <x v="3"/>
    <x v="415"/>
    <n v="555"/>
    <x v="0"/>
    <x v="6"/>
    <x v="2"/>
    <s v="No"/>
    <s v="Y"/>
    <n v="3"/>
    <n v="-2"/>
    <n v="0"/>
    <x v="13"/>
    <x v="0"/>
    <x v="0"/>
    <n v="1"/>
    <n v="0"/>
    <n v="296"/>
    <n v="6"/>
    <x v="0"/>
    <x v="0"/>
    <n v="4"/>
    <n v="33"/>
    <n v="1"/>
    <n v="1"/>
    <n v="1"/>
    <x v="404"/>
    <n v="12253"/>
    <n v="0"/>
    <n v="16"/>
    <n v="3"/>
    <n v="4"/>
    <n v="80"/>
    <n v="1"/>
    <n v="3"/>
    <n v="2"/>
    <n v="2"/>
    <n v="2"/>
    <n v="1"/>
    <n v="0"/>
  </r>
  <r>
    <x v="1"/>
    <s v="Travel_Frequently"/>
    <x v="0"/>
    <s v="Current Employees"/>
    <x v="1"/>
    <x v="0"/>
    <x v="416"/>
    <n v="556"/>
    <x v="1"/>
    <x v="2"/>
    <x v="1"/>
    <s v="Yes"/>
    <s v="Y"/>
    <n v="3"/>
    <n v="-2"/>
    <n v="0"/>
    <x v="8"/>
    <x v="1"/>
    <x v="1"/>
    <n v="0"/>
    <n v="1"/>
    <n v="1490"/>
    <n v="2"/>
    <x v="0"/>
    <x v="0"/>
    <n v="4"/>
    <n v="42"/>
    <n v="3"/>
    <n v="1"/>
    <n v="2"/>
    <x v="405"/>
    <n v="12106"/>
    <n v="1"/>
    <n v="23"/>
    <n v="4"/>
    <n v="3"/>
    <n v="80"/>
    <n v="1"/>
    <n v="1"/>
    <n v="3"/>
    <n v="1"/>
    <n v="0"/>
    <n v="0"/>
    <n v="0"/>
  </r>
  <r>
    <x v="1"/>
    <s v="Travel_Rarely"/>
    <x v="0"/>
    <s v="Current Employees"/>
    <x v="0"/>
    <x v="0"/>
    <x v="417"/>
    <n v="558"/>
    <x v="0"/>
    <x v="5"/>
    <x v="1"/>
    <s v="No"/>
    <s v="Y"/>
    <n v="2"/>
    <n v="-2"/>
    <n v="0"/>
    <x v="32"/>
    <x v="1"/>
    <x v="1"/>
    <n v="0"/>
    <n v="1"/>
    <n v="1398"/>
    <n v="2"/>
    <x v="2"/>
    <x v="0"/>
    <n v="3"/>
    <n v="79"/>
    <n v="3"/>
    <n v="5"/>
    <n v="2"/>
    <x v="406"/>
    <n v="13022"/>
    <n v="0"/>
    <n v="14"/>
    <n v="3"/>
    <n v="4"/>
    <n v="80"/>
    <n v="0"/>
    <n v="21"/>
    <n v="3"/>
    <n v="20"/>
    <n v="15"/>
    <n v="1"/>
    <n v="12"/>
  </r>
  <r>
    <x v="1"/>
    <s v="Travel_Rarely"/>
    <x v="2"/>
    <s v="Current Employees"/>
    <x v="1"/>
    <x v="0"/>
    <x v="418"/>
    <n v="560"/>
    <x v="0"/>
    <x v="1"/>
    <x v="2"/>
    <s v="No"/>
    <s v="Y"/>
    <n v="3"/>
    <n v="-2"/>
    <n v="0"/>
    <x v="25"/>
    <x v="1"/>
    <x v="1"/>
    <n v="0"/>
    <n v="1"/>
    <n v="1349"/>
    <n v="23"/>
    <x v="3"/>
    <x v="0"/>
    <n v="1"/>
    <n v="90"/>
    <n v="3"/>
    <n v="1"/>
    <n v="2"/>
    <x v="407"/>
    <n v="3032"/>
    <n v="1"/>
    <n v="22"/>
    <n v="4"/>
    <n v="2"/>
    <n v="80"/>
    <n v="2"/>
    <n v="3"/>
    <n v="1"/>
    <n v="3"/>
    <n v="2"/>
    <n v="0"/>
    <n v="2"/>
  </r>
  <r>
    <x v="1"/>
    <s v="Non-Travel"/>
    <x v="2"/>
    <s v="Current Employees"/>
    <x v="1"/>
    <x v="0"/>
    <x v="419"/>
    <n v="562"/>
    <x v="1"/>
    <x v="2"/>
    <x v="1"/>
    <s v="No"/>
    <s v="Y"/>
    <n v="3"/>
    <n v="-2"/>
    <n v="0"/>
    <x v="7"/>
    <x v="1"/>
    <x v="1"/>
    <n v="0"/>
    <n v="1"/>
    <n v="1400"/>
    <n v="3"/>
    <x v="3"/>
    <x v="0"/>
    <n v="3"/>
    <n v="53"/>
    <n v="3"/>
    <n v="1"/>
    <n v="2"/>
    <x v="408"/>
    <n v="16734"/>
    <n v="4"/>
    <n v="15"/>
    <n v="3"/>
    <n v="3"/>
    <n v="80"/>
    <n v="1"/>
    <n v="9"/>
    <n v="1"/>
    <n v="5"/>
    <n v="3"/>
    <n v="1"/>
    <n v="4"/>
  </r>
  <r>
    <x v="1"/>
    <s v="Travel_Rarely"/>
    <x v="2"/>
    <s v="Current Employees"/>
    <x v="1"/>
    <x v="2"/>
    <x v="420"/>
    <n v="564"/>
    <x v="1"/>
    <x v="7"/>
    <x v="1"/>
    <s v="No"/>
    <s v="Y"/>
    <n v="2"/>
    <n v="-2"/>
    <n v="0"/>
    <x v="11"/>
    <x v="1"/>
    <x v="1"/>
    <n v="0"/>
    <n v="1"/>
    <n v="986"/>
    <n v="3"/>
    <x v="2"/>
    <x v="0"/>
    <n v="2"/>
    <n v="93"/>
    <n v="2"/>
    <n v="3"/>
    <n v="3"/>
    <x v="409"/>
    <n v="21526"/>
    <n v="1"/>
    <n v="18"/>
    <n v="3"/>
    <n v="3"/>
    <n v="80"/>
    <n v="0"/>
    <n v="10"/>
    <n v="3"/>
    <n v="10"/>
    <n v="2"/>
    <n v="0"/>
    <n v="7"/>
  </r>
  <r>
    <x v="0"/>
    <s v="Travel_Rarely"/>
    <x v="2"/>
    <s v="Ex-Employees"/>
    <x v="1"/>
    <x v="4"/>
    <x v="421"/>
    <n v="565"/>
    <x v="0"/>
    <x v="1"/>
    <x v="1"/>
    <s v="No"/>
    <s v="Y"/>
    <n v="2"/>
    <n v="-2"/>
    <n v="0"/>
    <x v="11"/>
    <x v="0"/>
    <x v="0"/>
    <n v="1"/>
    <n v="0"/>
    <n v="408"/>
    <n v="25"/>
    <x v="4"/>
    <x v="0"/>
    <n v="4"/>
    <n v="71"/>
    <n v="2"/>
    <n v="1"/>
    <n v="4"/>
    <x v="410"/>
    <n v="18300"/>
    <n v="5"/>
    <n v="16"/>
    <n v="3"/>
    <n v="2"/>
    <n v="80"/>
    <n v="0"/>
    <n v="6"/>
    <n v="4"/>
    <n v="2"/>
    <n v="2"/>
    <n v="1"/>
    <n v="1"/>
  </r>
  <r>
    <x v="0"/>
    <s v="Travel_Rarely"/>
    <x v="4"/>
    <s v="Ex-Employees"/>
    <x v="2"/>
    <x v="4"/>
    <x v="422"/>
    <n v="566"/>
    <x v="1"/>
    <x v="8"/>
    <x v="0"/>
    <s v="No"/>
    <s v="Y"/>
    <n v="3"/>
    <n v="-2"/>
    <n v="0"/>
    <x v="37"/>
    <x v="0"/>
    <x v="0"/>
    <n v="1"/>
    <n v="0"/>
    <n v="489"/>
    <n v="2"/>
    <x v="0"/>
    <x v="0"/>
    <n v="4"/>
    <n v="52"/>
    <n v="2"/>
    <n v="1"/>
    <n v="4"/>
    <x v="411"/>
    <n v="18437"/>
    <n v="1"/>
    <n v="12"/>
    <n v="3"/>
    <n v="3"/>
    <n v="80"/>
    <n v="0"/>
    <n v="1"/>
    <n v="4"/>
    <n v="1"/>
    <n v="0"/>
    <n v="0"/>
    <n v="0"/>
  </r>
  <r>
    <x v="1"/>
    <s v="Non-Travel"/>
    <x v="2"/>
    <s v="Current Employees"/>
    <x v="0"/>
    <x v="1"/>
    <x v="423"/>
    <n v="567"/>
    <x v="0"/>
    <x v="0"/>
    <x v="1"/>
    <s v="No"/>
    <s v="Y"/>
    <n v="3"/>
    <n v="-2"/>
    <n v="0"/>
    <x v="7"/>
    <x v="1"/>
    <x v="1"/>
    <n v="0"/>
    <n v="1"/>
    <n v="1398"/>
    <n v="22"/>
    <x v="2"/>
    <x v="0"/>
    <n v="3"/>
    <n v="69"/>
    <n v="3"/>
    <n v="3"/>
    <n v="3"/>
    <x v="412"/>
    <n v="2890"/>
    <n v="0"/>
    <n v="11"/>
    <n v="3"/>
    <n v="3"/>
    <n v="80"/>
    <n v="0"/>
    <n v="10"/>
    <n v="3"/>
    <n v="9"/>
    <n v="8"/>
    <n v="7"/>
    <n v="8"/>
  </r>
  <r>
    <x v="1"/>
    <s v="Travel_Rarely"/>
    <x v="3"/>
    <s v="Current Employees"/>
    <x v="0"/>
    <x v="3"/>
    <x v="424"/>
    <n v="568"/>
    <x v="1"/>
    <x v="5"/>
    <x v="2"/>
    <s v="No"/>
    <s v="Y"/>
    <n v="3"/>
    <n v="-2"/>
    <n v="0"/>
    <x v="38"/>
    <x v="1"/>
    <x v="1"/>
    <n v="0"/>
    <n v="1"/>
    <n v="210"/>
    <n v="29"/>
    <x v="3"/>
    <x v="0"/>
    <n v="1"/>
    <n v="56"/>
    <n v="2"/>
    <n v="4"/>
    <n v="1"/>
    <x v="413"/>
    <n v="22102"/>
    <n v="3"/>
    <n v="12"/>
    <n v="3"/>
    <n v="3"/>
    <n v="80"/>
    <n v="1"/>
    <n v="32"/>
    <n v="2"/>
    <n v="1"/>
    <n v="0"/>
    <n v="0"/>
    <n v="0"/>
  </r>
  <r>
    <x v="1"/>
    <s v="Travel_Rarely"/>
    <x v="1"/>
    <s v="Current Employees"/>
    <x v="1"/>
    <x v="0"/>
    <x v="425"/>
    <n v="569"/>
    <x v="1"/>
    <x v="5"/>
    <x v="1"/>
    <s v="No"/>
    <s v="Y"/>
    <n v="2"/>
    <n v="-2"/>
    <n v="0"/>
    <x v="24"/>
    <x v="1"/>
    <x v="1"/>
    <n v="0"/>
    <n v="1"/>
    <n v="1099"/>
    <n v="29"/>
    <x v="2"/>
    <x v="0"/>
    <n v="2"/>
    <n v="88"/>
    <n v="2"/>
    <n v="4"/>
    <n v="2"/>
    <x v="414"/>
    <n v="9314"/>
    <n v="0"/>
    <n v="15"/>
    <n v="3"/>
    <n v="2"/>
    <n v="80"/>
    <n v="1"/>
    <n v="28"/>
    <n v="3"/>
    <n v="27"/>
    <n v="10"/>
    <n v="15"/>
    <n v="7"/>
  </r>
  <r>
    <x v="1"/>
    <s v="Non-Travel"/>
    <x v="2"/>
    <s v="Current Employees"/>
    <x v="1"/>
    <x v="2"/>
    <x v="426"/>
    <n v="571"/>
    <x v="0"/>
    <x v="2"/>
    <x v="0"/>
    <s v="No"/>
    <s v="Y"/>
    <n v="2"/>
    <n v="-2"/>
    <n v="0"/>
    <x v="7"/>
    <x v="1"/>
    <x v="1"/>
    <n v="0"/>
    <n v="1"/>
    <n v="1116"/>
    <n v="2"/>
    <x v="3"/>
    <x v="0"/>
    <n v="3"/>
    <n v="49"/>
    <n v="3"/>
    <n v="1"/>
    <n v="4"/>
    <x v="411"/>
    <n v="7181"/>
    <n v="0"/>
    <n v="14"/>
    <n v="3"/>
    <n v="3"/>
    <n v="80"/>
    <n v="0"/>
    <n v="12"/>
    <n v="2"/>
    <n v="11"/>
    <n v="7"/>
    <n v="6"/>
    <n v="7"/>
  </r>
  <r>
    <x v="1"/>
    <s v="Travel_Frequently"/>
    <x v="3"/>
    <s v="Current Employees"/>
    <x v="0"/>
    <x v="3"/>
    <x v="427"/>
    <n v="573"/>
    <x v="0"/>
    <x v="0"/>
    <x v="1"/>
    <s v="No"/>
    <s v="Y"/>
    <n v="5"/>
    <n v="-2"/>
    <n v="0"/>
    <x v="42"/>
    <x v="1"/>
    <x v="1"/>
    <n v="0"/>
    <n v="1"/>
    <n v="1499"/>
    <n v="28"/>
    <x v="3"/>
    <x v="0"/>
    <n v="3"/>
    <n v="80"/>
    <n v="2"/>
    <n v="3"/>
    <n v="1"/>
    <x v="415"/>
    <n v="2845"/>
    <n v="4"/>
    <n v="19"/>
    <n v="3"/>
    <n v="4"/>
    <n v="80"/>
    <n v="0"/>
    <n v="22"/>
    <n v="4"/>
    <n v="18"/>
    <n v="13"/>
    <n v="13"/>
    <n v="11"/>
  </r>
  <r>
    <x v="1"/>
    <s v="Travel_Rarely"/>
    <x v="1"/>
    <s v="Current Employees"/>
    <x v="1"/>
    <x v="2"/>
    <x v="428"/>
    <n v="574"/>
    <x v="0"/>
    <x v="3"/>
    <x v="2"/>
    <s v="No"/>
    <s v="Y"/>
    <n v="2"/>
    <n v="-2"/>
    <n v="0"/>
    <x v="40"/>
    <x v="1"/>
    <x v="1"/>
    <n v="0"/>
    <n v="1"/>
    <n v="983"/>
    <n v="2"/>
    <x v="0"/>
    <x v="0"/>
    <n v="1"/>
    <n v="65"/>
    <n v="3"/>
    <n v="2"/>
    <n v="4"/>
    <x v="416"/>
    <n v="7389"/>
    <n v="5"/>
    <n v="13"/>
    <n v="3"/>
    <n v="3"/>
    <n v="80"/>
    <n v="3"/>
    <n v="20"/>
    <n v="3"/>
    <n v="5"/>
    <n v="0"/>
    <n v="0"/>
    <n v="4"/>
  </r>
  <r>
    <x v="1"/>
    <s v="Travel_Rarely"/>
    <x v="1"/>
    <s v="Current Employees"/>
    <x v="1"/>
    <x v="0"/>
    <x v="429"/>
    <n v="575"/>
    <x v="1"/>
    <x v="7"/>
    <x v="1"/>
    <s v="No"/>
    <s v="Y"/>
    <n v="2"/>
    <n v="-2"/>
    <n v="0"/>
    <x v="21"/>
    <x v="1"/>
    <x v="1"/>
    <n v="0"/>
    <n v="1"/>
    <n v="1009"/>
    <n v="2"/>
    <x v="3"/>
    <x v="0"/>
    <n v="1"/>
    <n v="51"/>
    <n v="3"/>
    <n v="4"/>
    <n v="2"/>
    <x v="417"/>
    <n v="2288"/>
    <n v="6"/>
    <n v="13"/>
    <n v="3"/>
    <n v="3"/>
    <n v="80"/>
    <n v="0"/>
    <n v="26"/>
    <n v="1"/>
    <n v="3"/>
    <n v="2"/>
    <n v="0"/>
    <n v="1"/>
  </r>
  <r>
    <x v="1"/>
    <s v="Travel_Rarely"/>
    <x v="0"/>
    <s v="Current Employees"/>
    <x v="1"/>
    <x v="0"/>
    <x v="430"/>
    <n v="577"/>
    <x v="1"/>
    <x v="2"/>
    <x v="0"/>
    <s v="No"/>
    <s v="Y"/>
    <n v="2"/>
    <n v="-2"/>
    <n v="0"/>
    <x v="10"/>
    <x v="1"/>
    <x v="1"/>
    <n v="0"/>
    <n v="1"/>
    <n v="144"/>
    <n v="22"/>
    <x v="3"/>
    <x v="0"/>
    <n v="4"/>
    <n v="46"/>
    <n v="1"/>
    <n v="1"/>
    <n v="2"/>
    <x v="418"/>
    <n v="19225"/>
    <n v="0"/>
    <n v="15"/>
    <n v="3"/>
    <n v="3"/>
    <n v="80"/>
    <n v="0"/>
    <n v="6"/>
    <n v="3"/>
    <n v="5"/>
    <n v="4"/>
    <n v="4"/>
    <n v="3"/>
  </r>
  <r>
    <x v="1"/>
    <s v="Travel_Rarely"/>
    <x v="1"/>
    <s v="Current Employees"/>
    <x v="1"/>
    <x v="0"/>
    <x v="431"/>
    <n v="578"/>
    <x v="0"/>
    <x v="2"/>
    <x v="0"/>
    <s v="No"/>
    <s v="Y"/>
    <n v="3"/>
    <n v="-2"/>
    <n v="0"/>
    <x v="33"/>
    <x v="1"/>
    <x v="1"/>
    <n v="0"/>
    <n v="1"/>
    <n v="548"/>
    <n v="8"/>
    <x v="2"/>
    <x v="0"/>
    <n v="3"/>
    <n v="42"/>
    <n v="3"/>
    <n v="2"/>
    <n v="2"/>
    <x v="419"/>
    <n v="23428"/>
    <n v="7"/>
    <n v="11"/>
    <n v="3"/>
    <n v="3"/>
    <n v="80"/>
    <n v="0"/>
    <n v="19"/>
    <n v="3"/>
    <n v="1"/>
    <n v="0"/>
    <n v="0"/>
    <n v="0"/>
  </r>
  <r>
    <x v="1"/>
    <s v="Travel_Rarely"/>
    <x v="2"/>
    <s v="Current Employees"/>
    <x v="1"/>
    <x v="0"/>
    <x v="432"/>
    <n v="579"/>
    <x v="1"/>
    <x v="1"/>
    <x v="2"/>
    <s v="No"/>
    <s v="Y"/>
    <n v="3"/>
    <n v="-2"/>
    <n v="0"/>
    <x v="13"/>
    <x v="1"/>
    <x v="1"/>
    <n v="0"/>
    <n v="1"/>
    <n v="1303"/>
    <n v="2"/>
    <x v="2"/>
    <x v="0"/>
    <n v="4"/>
    <n v="62"/>
    <n v="2"/>
    <n v="1"/>
    <n v="2"/>
    <x v="420"/>
    <n v="8416"/>
    <n v="3"/>
    <n v="12"/>
    <n v="3"/>
    <n v="3"/>
    <n v="80"/>
    <n v="1"/>
    <n v="14"/>
    <n v="3"/>
    <n v="7"/>
    <n v="3"/>
    <n v="5"/>
    <n v="7"/>
  </r>
  <r>
    <x v="1"/>
    <s v="Travel_Rarely"/>
    <x v="1"/>
    <s v="Current Employees"/>
    <x v="0"/>
    <x v="3"/>
    <x v="433"/>
    <n v="580"/>
    <x v="0"/>
    <x v="0"/>
    <x v="1"/>
    <s v="Yes"/>
    <s v="Y"/>
    <n v="3"/>
    <n v="-2"/>
    <n v="0"/>
    <x v="21"/>
    <x v="1"/>
    <x v="1"/>
    <n v="0"/>
    <n v="1"/>
    <n v="1125"/>
    <n v="10"/>
    <x v="3"/>
    <x v="0"/>
    <n v="3"/>
    <n v="94"/>
    <n v="2"/>
    <n v="3"/>
    <n v="1"/>
    <x v="421"/>
    <n v="11563"/>
    <n v="2"/>
    <n v="19"/>
    <n v="3"/>
    <n v="3"/>
    <n v="80"/>
    <n v="1"/>
    <n v="15"/>
    <n v="3"/>
    <n v="3"/>
    <n v="2"/>
    <n v="1"/>
    <n v="2"/>
  </r>
  <r>
    <x v="1"/>
    <s v="Travel_Rarely"/>
    <x v="2"/>
    <s v="Current Employees"/>
    <x v="1"/>
    <x v="0"/>
    <x v="434"/>
    <n v="581"/>
    <x v="1"/>
    <x v="3"/>
    <x v="2"/>
    <s v="No"/>
    <s v="Y"/>
    <n v="6"/>
    <n v="-2"/>
    <n v="0"/>
    <x v="12"/>
    <x v="1"/>
    <x v="1"/>
    <n v="0"/>
    <n v="1"/>
    <n v="1274"/>
    <n v="9"/>
    <x v="1"/>
    <x v="0"/>
    <n v="3"/>
    <n v="33"/>
    <n v="3"/>
    <n v="3"/>
    <n v="2"/>
    <x v="422"/>
    <n v="14394"/>
    <n v="1"/>
    <n v="25"/>
    <n v="4"/>
    <n v="4"/>
    <n v="80"/>
    <n v="1"/>
    <n v="13"/>
    <n v="4"/>
    <n v="13"/>
    <n v="8"/>
    <n v="0"/>
    <n v="8"/>
  </r>
  <r>
    <x v="0"/>
    <s v="Travel_Rarely"/>
    <x v="2"/>
    <s v="Ex-Employees"/>
    <x v="1"/>
    <x v="2"/>
    <x v="435"/>
    <n v="582"/>
    <x v="1"/>
    <x v="5"/>
    <x v="1"/>
    <s v="Yes"/>
    <s v="Y"/>
    <n v="2"/>
    <n v="-2"/>
    <n v="0"/>
    <x v="3"/>
    <x v="0"/>
    <x v="0"/>
    <n v="1"/>
    <n v="0"/>
    <n v="1277"/>
    <n v="15"/>
    <x v="1"/>
    <x v="0"/>
    <n v="2"/>
    <n v="56"/>
    <n v="3"/>
    <n v="3"/>
    <n v="3"/>
    <x v="423"/>
    <n v="24619"/>
    <n v="7"/>
    <n v="12"/>
    <n v="3"/>
    <n v="4"/>
    <n v="80"/>
    <n v="0"/>
    <n v="15"/>
    <n v="4"/>
    <n v="7"/>
    <n v="6"/>
    <n v="7"/>
    <n v="7"/>
  </r>
  <r>
    <x v="0"/>
    <s v="Travel_Rarely"/>
    <x v="2"/>
    <s v="Ex-Employees"/>
    <x v="1"/>
    <x v="2"/>
    <x v="436"/>
    <n v="584"/>
    <x v="1"/>
    <x v="2"/>
    <x v="2"/>
    <s v="No"/>
    <s v="Y"/>
    <n v="2"/>
    <n v="-2"/>
    <n v="0"/>
    <x v="3"/>
    <x v="0"/>
    <x v="0"/>
    <n v="1"/>
    <n v="0"/>
    <n v="587"/>
    <n v="10"/>
    <x v="1"/>
    <x v="0"/>
    <n v="1"/>
    <n v="38"/>
    <n v="1"/>
    <n v="1"/>
    <n v="4"/>
    <x v="424"/>
    <n v="6705"/>
    <n v="7"/>
    <n v="13"/>
    <n v="3"/>
    <n v="1"/>
    <n v="80"/>
    <n v="3"/>
    <n v="8"/>
    <n v="3"/>
    <n v="4"/>
    <n v="3"/>
    <n v="1"/>
    <n v="3"/>
  </r>
  <r>
    <x v="1"/>
    <s v="Travel_Rarely"/>
    <x v="2"/>
    <s v="Current Employees"/>
    <x v="0"/>
    <x v="3"/>
    <x v="437"/>
    <n v="585"/>
    <x v="1"/>
    <x v="6"/>
    <x v="0"/>
    <s v="No"/>
    <s v="Y"/>
    <n v="3"/>
    <n v="-2"/>
    <n v="0"/>
    <x v="7"/>
    <x v="1"/>
    <x v="1"/>
    <n v="0"/>
    <n v="1"/>
    <n v="413"/>
    <n v="7"/>
    <x v="1"/>
    <x v="0"/>
    <n v="4"/>
    <n v="57"/>
    <n v="3"/>
    <n v="1"/>
    <n v="1"/>
    <x v="425"/>
    <n v="18398"/>
    <n v="0"/>
    <n v="14"/>
    <n v="3"/>
    <n v="1"/>
    <n v="80"/>
    <n v="0"/>
    <n v="4"/>
    <n v="3"/>
    <n v="3"/>
    <n v="2"/>
    <n v="1"/>
    <n v="2"/>
  </r>
  <r>
    <x v="1"/>
    <s v="Travel_Rarely"/>
    <x v="0"/>
    <s v="Current Employees"/>
    <x v="1"/>
    <x v="0"/>
    <x v="438"/>
    <n v="586"/>
    <x v="1"/>
    <x v="4"/>
    <x v="1"/>
    <s v="Yes"/>
    <s v="Y"/>
    <n v="2"/>
    <n v="-2"/>
    <n v="0"/>
    <x v="10"/>
    <x v="1"/>
    <x v="1"/>
    <n v="0"/>
    <n v="1"/>
    <n v="1276"/>
    <n v="16"/>
    <x v="3"/>
    <x v="0"/>
    <n v="4"/>
    <n v="72"/>
    <n v="3"/>
    <n v="3"/>
    <n v="2"/>
    <x v="426"/>
    <n v="14295"/>
    <n v="4"/>
    <n v="12"/>
    <n v="3"/>
    <n v="3"/>
    <n v="80"/>
    <n v="0"/>
    <n v="10"/>
    <n v="3"/>
    <n v="8"/>
    <n v="7"/>
    <n v="0"/>
    <n v="0"/>
  </r>
  <r>
    <x v="0"/>
    <s v="Travel_Frequently"/>
    <x v="2"/>
    <s v="Ex-Employees"/>
    <x v="1"/>
    <x v="0"/>
    <x v="439"/>
    <n v="587"/>
    <x v="1"/>
    <x v="4"/>
    <x v="1"/>
    <s v="No"/>
    <s v="Y"/>
    <n v="2"/>
    <n v="-2"/>
    <n v="0"/>
    <x v="12"/>
    <x v="0"/>
    <x v="0"/>
    <n v="1"/>
    <n v="0"/>
    <n v="534"/>
    <n v="20"/>
    <x v="3"/>
    <x v="0"/>
    <n v="1"/>
    <n v="66"/>
    <n v="3"/>
    <n v="3"/>
    <n v="2"/>
    <x v="427"/>
    <n v="22908"/>
    <n v="3"/>
    <n v="12"/>
    <n v="3"/>
    <n v="1"/>
    <n v="80"/>
    <n v="0"/>
    <n v="12"/>
    <n v="3"/>
    <n v="1"/>
    <n v="0"/>
    <n v="0"/>
    <n v="0"/>
  </r>
  <r>
    <x v="0"/>
    <s v="Travel_Frequently"/>
    <x v="2"/>
    <s v="Ex-Employees"/>
    <x v="2"/>
    <x v="5"/>
    <x v="440"/>
    <n v="590"/>
    <x v="0"/>
    <x v="8"/>
    <x v="2"/>
    <s v="Yes"/>
    <s v="Y"/>
    <n v="2"/>
    <n v="-2"/>
    <n v="0"/>
    <x v="13"/>
    <x v="0"/>
    <x v="0"/>
    <n v="1"/>
    <n v="0"/>
    <n v="988"/>
    <n v="23"/>
    <x v="3"/>
    <x v="0"/>
    <n v="2"/>
    <n v="43"/>
    <n v="3"/>
    <n v="3"/>
    <n v="3"/>
    <x v="428"/>
    <n v="11533"/>
    <n v="9"/>
    <n v="15"/>
    <n v="3"/>
    <n v="3"/>
    <n v="80"/>
    <n v="3"/>
    <n v="11"/>
    <n v="3"/>
    <n v="3"/>
    <n v="2"/>
    <n v="0"/>
    <n v="2"/>
  </r>
  <r>
    <x v="1"/>
    <s v="Travel_Frequently"/>
    <x v="0"/>
    <s v="Current Employees"/>
    <x v="1"/>
    <x v="1"/>
    <x v="441"/>
    <n v="591"/>
    <x v="1"/>
    <x v="2"/>
    <x v="1"/>
    <s v="No"/>
    <s v="Y"/>
    <n v="4"/>
    <n v="-2"/>
    <n v="0"/>
    <x v="19"/>
    <x v="1"/>
    <x v="1"/>
    <n v="0"/>
    <n v="1"/>
    <n v="1474"/>
    <n v="5"/>
    <x v="0"/>
    <x v="0"/>
    <n v="2"/>
    <n v="97"/>
    <n v="3"/>
    <n v="1"/>
    <n v="3"/>
    <x v="429"/>
    <n v="9260"/>
    <n v="4"/>
    <n v="17"/>
    <n v="3"/>
    <n v="4"/>
    <n v="80"/>
    <n v="1"/>
    <n v="8"/>
    <n v="3"/>
    <n v="2"/>
    <n v="2"/>
    <n v="2"/>
    <n v="0"/>
  </r>
  <r>
    <x v="1"/>
    <s v="Non-Travel"/>
    <x v="0"/>
    <s v="Current Employees"/>
    <x v="0"/>
    <x v="2"/>
    <x v="442"/>
    <n v="592"/>
    <x v="1"/>
    <x v="0"/>
    <x v="0"/>
    <s v="No"/>
    <s v="Y"/>
    <n v="3"/>
    <n v="-2"/>
    <n v="0"/>
    <x v="9"/>
    <x v="1"/>
    <x v="1"/>
    <n v="0"/>
    <n v="1"/>
    <n v="635"/>
    <n v="10"/>
    <x v="2"/>
    <x v="0"/>
    <n v="2"/>
    <n v="32"/>
    <n v="3"/>
    <n v="3"/>
    <n v="4"/>
    <x v="15"/>
    <n v="15318"/>
    <n v="1"/>
    <n v="14"/>
    <n v="3"/>
    <n v="4"/>
    <n v="80"/>
    <n v="0"/>
    <n v="10"/>
    <n v="2"/>
    <n v="10"/>
    <n v="3"/>
    <n v="9"/>
    <n v="7"/>
  </r>
  <r>
    <x v="0"/>
    <s v="Travel_Frequently"/>
    <x v="4"/>
    <s v="Ex-Employees"/>
    <x v="1"/>
    <x v="4"/>
    <x v="443"/>
    <n v="593"/>
    <x v="1"/>
    <x v="2"/>
    <x v="0"/>
    <s v="No"/>
    <s v="Y"/>
    <n v="3"/>
    <n v="-2"/>
    <n v="0"/>
    <x v="15"/>
    <x v="0"/>
    <x v="0"/>
    <n v="1"/>
    <n v="0"/>
    <n v="1368"/>
    <n v="4"/>
    <x v="1"/>
    <x v="0"/>
    <n v="4"/>
    <n v="99"/>
    <n v="2"/>
    <n v="1"/>
    <n v="4"/>
    <x v="430"/>
    <n v="9129"/>
    <n v="5"/>
    <n v="16"/>
    <n v="3"/>
    <n v="3"/>
    <n v="80"/>
    <n v="0"/>
    <n v="4"/>
    <n v="3"/>
    <n v="2"/>
    <n v="2"/>
    <n v="1"/>
    <n v="2"/>
  </r>
  <r>
    <x v="1"/>
    <s v="Travel_Rarely"/>
    <x v="1"/>
    <s v="Current Employees"/>
    <x v="0"/>
    <x v="3"/>
    <x v="444"/>
    <n v="595"/>
    <x v="0"/>
    <x v="0"/>
    <x v="1"/>
    <s v="No"/>
    <s v="Y"/>
    <n v="2"/>
    <n v="-2"/>
    <n v="0"/>
    <x v="26"/>
    <x v="1"/>
    <x v="1"/>
    <n v="0"/>
    <n v="1"/>
    <n v="163"/>
    <n v="2"/>
    <x v="4"/>
    <x v="0"/>
    <n v="2"/>
    <n v="37"/>
    <n v="3"/>
    <n v="2"/>
    <n v="1"/>
    <x v="431"/>
    <n v="19658"/>
    <n v="2"/>
    <n v="14"/>
    <n v="3"/>
    <n v="1"/>
    <n v="80"/>
    <n v="1"/>
    <n v="14"/>
    <n v="3"/>
    <n v="9"/>
    <n v="7"/>
    <n v="6"/>
    <n v="7"/>
  </r>
  <r>
    <x v="1"/>
    <s v="Travel_Rarely"/>
    <x v="3"/>
    <s v="Current Employees"/>
    <x v="0"/>
    <x v="0"/>
    <x v="445"/>
    <n v="597"/>
    <x v="0"/>
    <x v="5"/>
    <x v="0"/>
    <s v="No"/>
    <s v="Y"/>
    <n v="2"/>
    <n v="-2"/>
    <n v="0"/>
    <x v="27"/>
    <x v="1"/>
    <x v="1"/>
    <n v="0"/>
    <n v="1"/>
    <n v="1117"/>
    <n v="18"/>
    <x v="4"/>
    <x v="0"/>
    <n v="1"/>
    <n v="83"/>
    <n v="3"/>
    <n v="4"/>
    <n v="2"/>
    <x v="432"/>
    <n v="9873"/>
    <n v="3"/>
    <n v="23"/>
    <n v="4"/>
    <n v="4"/>
    <n v="80"/>
    <n v="0"/>
    <n v="37"/>
    <n v="3"/>
    <n v="10"/>
    <n v="9"/>
    <n v="7"/>
    <n v="7"/>
  </r>
  <r>
    <x v="1"/>
    <s v="Non-Travel"/>
    <x v="0"/>
    <s v="Current Employees"/>
    <x v="0"/>
    <x v="0"/>
    <x v="446"/>
    <n v="599"/>
    <x v="1"/>
    <x v="0"/>
    <x v="0"/>
    <s v="No"/>
    <s v="Y"/>
    <n v="3"/>
    <n v="-2"/>
    <n v="0"/>
    <x v="0"/>
    <x v="1"/>
    <x v="1"/>
    <n v="0"/>
    <n v="1"/>
    <n v="267"/>
    <n v="10"/>
    <x v="0"/>
    <x v="0"/>
    <n v="4"/>
    <n v="56"/>
    <n v="3"/>
    <n v="2"/>
    <n v="2"/>
    <x v="433"/>
    <n v="13430"/>
    <n v="7"/>
    <n v="14"/>
    <n v="3"/>
    <n v="4"/>
    <n v="80"/>
    <n v="0"/>
    <n v="16"/>
    <n v="3"/>
    <n v="14"/>
    <n v="3"/>
    <n v="1"/>
    <n v="10"/>
  </r>
  <r>
    <x v="1"/>
    <s v="Travel_Rarely"/>
    <x v="0"/>
    <s v="Current Employees"/>
    <x v="0"/>
    <x v="3"/>
    <x v="447"/>
    <n v="600"/>
    <x v="1"/>
    <x v="0"/>
    <x v="1"/>
    <s v="No"/>
    <s v="Y"/>
    <n v="2"/>
    <n v="-2"/>
    <n v="0"/>
    <x v="10"/>
    <x v="1"/>
    <x v="1"/>
    <n v="0"/>
    <n v="1"/>
    <n v="619"/>
    <n v="1"/>
    <x v="3"/>
    <x v="0"/>
    <n v="2"/>
    <n v="85"/>
    <n v="3"/>
    <n v="2"/>
    <n v="1"/>
    <x v="434"/>
    <n v="18659"/>
    <n v="9"/>
    <n v="11"/>
    <n v="3"/>
    <n v="3"/>
    <n v="80"/>
    <n v="0"/>
    <n v="15"/>
    <n v="3"/>
    <n v="11"/>
    <n v="9"/>
    <n v="6"/>
    <n v="9"/>
  </r>
  <r>
    <x v="1"/>
    <s v="Travel_Rarely"/>
    <x v="0"/>
    <s v="Current Employees"/>
    <x v="1"/>
    <x v="0"/>
    <x v="448"/>
    <n v="601"/>
    <x v="0"/>
    <x v="3"/>
    <x v="0"/>
    <s v="No"/>
    <s v="Y"/>
    <n v="3"/>
    <n v="-2"/>
    <n v="0"/>
    <x v="32"/>
    <x v="1"/>
    <x v="1"/>
    <n v="0"/>
    <n v="1"/>
    <n v="302"/>
    <n v="6"/>
    <x v="3"/>
    <x v="0"/>
    <n v="2"/>
    <n v="75"/>
    <n v="3"/>
    <n v="4"/>
    <n v="2"/>
    <x v="435"/>
    <n v="20364"/>
    <n v="7"/>
    <n v="15"/>
    <n v="3"/>
    <n v="3"/>
    <n v="80"/>
    <n v="0"/>
    <n v="22"/>
    <n v="3"/>
    <n v="20"/>
    <n v="6"/>
    <n v="5"/>
    <n v="13"/>
  </r>
  <r>
    <x v="1"/>
    <s v="Travel_Frequently"/>
    <x v="0"/>
    <s v="Current Employees"/>
    <x v="1"/>
    <x v="0"/>
    <x v="449"/>
    <n v="602"/>
    <x v="0"/>
    <x v="2"/>
    <x v="1"/>
    <s v="No"/>
    <s v="Y"/>
    <n v="3"/>
    <n v="-2"/>
    <n v="0"/>
    <x v="22"/>
    <x v="1"/>
    <x v="1"/>
    <n v="0"/>
    <n v="1"/>
    <n v="443"/>
    <n v="8"/>
    <x v="1"/>
    <x v="0"/>
    <n v="3"/>
    <n v="48"/>
    <n v="3"/>
    <n v="1"/>
    <n v="2"/>
    <x v="436"/>
    <n v="17872"/>
    <n v="1"/>
    <n v="11"/>
    <n v="3"/>
    <n v="1"/>
    <n v="80"/>
    <n v="1"/>
    <n v="8"/>
    <n v="3"/>
    <n v="8"/>
    <n v="3"/>
    <n v="0"/>
    <n v="7"/>
  </r>
  <r>
    <x v="1"/>
    <s v="Travel_Rarely"/>
    <x v="2"/>
    <s v="Current Employees"/>
    <x v="0"/>
    <x v="0"/>
    <x v="450"/>
    <n v="604"/>
    <x v="1"/>
    <x v="0"/>
    <x v="0"/>
    <s v="Yes"/>
    <s v="Y"/>
    <n v="2"/>
    <n v="-2"/>
    <n v="0"/>
    <x v="12"/>
    <x v="1"/>
    <x v="1"/>
    <n v="0"/>
    <n v="1"/>
    <n v="828"/>
    <n v="2"/>
    <x v="1"/>
    <x v="0"/>
    <n v="2"/>
    <n v="77"/>
    <n v="3"/>
    <n v="2"/>
    <n v="2"/>
    <x v="437"/>
    <n v="8346"/>
    <n v="4"/>
    <n v="13"/>
    <n v="3"/>
    <n v="3"/>
    <n v="80"/>
    <n v="0"/>
    <n v="10"/>
    <n v="4"/>
    <n v="6"/>
    <n v="5"/>
    <n v="0"/>
    <n v="5"/>
  </r>
  <r>
    <x v="1"/>
    <s v="Travel_Rarely"/>
    <x v="0"/>
    <s v="Current Employees"/>
    <x v="1"/>
    <x v="2"/>
    <x v="451"/>
    <n v="605"/>
    <x v="1"/>
    <x v="3"/>
    <x v="1"/>
    <s v="Yes"/>
    <s v="Y"/>
    <n v="5"/>
    <n v="-2"/>
    <n v="0"/>
    <x v="19"/>
    <x v="1"/>
    <x v="1"/>
    <n v="0"/>
    <n v="1"/>
    <n v="319"/>
    <n v="24"/>
    <x v="3"/>
    <x v="0"/>
    <n v="4"/>
    <n v="56"/>
    <n v="3"/>
    <n v="3"/>
    <n v="3"/>
    <x v="438"/>
    <n v="6950"/>
    <n v="1"/>
    <n v="21"/>
    <n v="4"/>
    <n v="4"/>
    <n v="80"/>
    <n v="1"/>
    <n v="10"/>
    <n v="2"/>
    <n v="10"/>
    <n v="9"/>
    <n v="5"/>
    <n v="8"/>
  </r>
  <r>
    <x v="1"/>
    <s v="Travel_Rarely"/>
    <x v="1"/>
    <s v="Current Employees"/>
    <x v="0"/>
    <x v="1"/>
    <x v="452"/>
    <n v="606"/>
    <x v="1"/>
    <x v="0"/>
    <x v="1"/>
    <s v="No"/>
    <s v="Y"/>
    <n v="3"/>
    <n v="-2"/>
    <n v="0"/>
    <x v="28"/>
    <x v="1"/>
    <x v="1"/>
    <n v="0"/>
    <n v="1"/>
    <n v="561"/>
    <n v="2"/>
    <x v="3"/>
    <x v="0"/>
    <n v="4"/>
    <n v="61"/>
    <n v="3"/>
    <n v="2"/>
    <n v="3"/>
    <x v="439"/>
    <n v="16177"/>
    <n v="0"/>
    <n v="19"/>
    <n v="3"/>
    <n v="2"/>
    <n v="80"/>
    <n v="1"/>
    <n v="9"/>
    <n v="4"/>
    <n v="8"/>
    <n v="7"/>
    <n v="3"/>
    <n v="7"/>
  </r>
  <r>
    <x v="0"/>
    <s v="Travel_Frequently"/>
    <x v="2"/>
    <s v="Ex-Employees"/>
    <x v="2"/>
    <x v="0"/>
    <x v="453"/>
    <n v="608"/>
    <x v="0"/>
    <x v="8"/>
    <x v="2"/>
    <s v="Yes"/>
    <s v="Y"/>
    <n v="2"/>
    <n v="-2"/>
    <n v="0"/>
    <x v="25"/>
    <x v="0"/>
    <x v="0"/>
    <n v="1"/>
    <n v="0"/>
    <n v="426"/>
    <n v="17"/>
    <x v="2"/>
    <x v="0"/>
    <n v="2"/>
    <n v="58"/>
    <n v="3"/>
    <n v="1"/>
    <n v="2"/>
    <x v="199"/>
    <n v="22808"/>
    <n v="0"/>
    <n v="11"/>
    <n v="3"/>
    <n v="2"/>
    <n v="80"/>
    <n v="1"/>
    <n v="8"/>
    <n v="2"/>
    <n v="7"/>
    <n v="7"/>
    <n v="1"/>
    <n v="0"/>
  </r>
  <r>
    <x v="1"/>
    <s v="Travel_Rarely"/>
    <x v="2"/>
    <s v="Current Employees"/>
    <x v="1"/>
    <x v="4"/>
    <x v="454"/>
    <n v="611"/>
    <x v="1"/>
    <x v="3"/>
    <x v="2"/>
    <s v="No"/>
    <s v="Y"/>
    <n v="2"/>
    <n v="-2"/>
    <n v="0"/>
    <x v="11"/>
    <x v="1"/>
    <x v="1"/>
    <n v="0"/>
    <n v="1"/>
    <n v="232"/>
    <n v="19"/>
    <x v="3"/>
    <x v="0"/>
    <n v="4"/>
    <n v="34"/>
    <n v="3"/>
    <n v="2"/>
    <n v="4"/>
    <x v="440"/>
    <n v="22645"/>
    <n v="4"/>
    <n v="12"/>
    <n v="3"/>
    <n v="2"/>
    <n v="80"/>
    <n v="2"/>
    <n v="8"/>
    <n v="4"/>
    <n v="3"/>
    <n v="2"/>
    <n v="1"/>
    <n v="2"/>
  </r>
  <r>
    <x v="1"/>
    <s v="Travel_Rarely"/>
    <x v="2"/>
    <s v="Current Employees"/>
    <x v="1"/>
    <x v="2"/>
    <x v="455"/>
    <n v="612"/>
    <x v="0"/>
    <x v="7"/>
    <x v="2"/>
    <s v="No"/>
    <s v="Y"/>
    <n v="2"/>
    <n v="-2"/>
    <n v="0"/>
    <x v="3"/>
    <x v="1"/>
    <x v="1"/>
    <n v="0"/>
    <n v="1"/>
    <n v="922"/>
    <n v="1"/>
    <x v="4"/>
    <x v="0"/>
    <n v="1"/>
    <n v="95"/>
    <n v="4"/>
    <n v="4"/>
    <n v="3"/>
    <x v="441"/>
    <n v="22578"/>
    <n v="4"/>
    <n v="19"/>
    <n v="3"/>
    <n v="3"/>
    <n v="80"/>
    <n v="1"/>
    <n v="10"/>
    <n v="3"/>
    <n v="6"/>
    <n v="1"/>
    <n v="0"/>
    <n v="5"/>
  </r>
  <r>
    <x v="1"/>
    <s v="Travel_Rarely"/>
    <x v="2"/>
    <s v="Current Employees"/>
    <x v="0"/>
    <x v="0"/>
    <x v="456"/>
    <n v="613"/>
    <x v="1"/>
    <x v="5"/>
    <x v="2"/>
    <s v="No"/>
    <s v="Y"/>
    <n v="3"/>
    <n v="-2"/>
    <n v="0"/>
    <x v="12"/>
    <x v="1"/>
    <x v="1"/>
    <n v="0"/>
    <n v="1"/>
    <n v="688"/>
    <n v="7"/>
    <x v="3"/>
    <x v="0"/>
    <n v="3"/>
    <n v="44"/>
    <n v="2"/>
    <n v="3"/>
    <n v="2"/>
    <x v="442"/>
    <n v="25291"/>
    <n v="9"/>
    <n v="21"/>
    <n v="4"/>
    <n v="3"/>
    <n v="80"/>
    <n v="1"/>
    <n v="10"/>
    <n v="2"/>
    <n v="5"/>
    <n v="4"/>
    <n v="0"/>
    <n v="1"/>
  </r>
  <r>
    <x v="0"/>
    <s v="Travel_Frequently"/>
    <x v="4"/>
    <s v="Ex-Employees"/>
    <x v="0"/>
    <x v="3"/>
    <x v="457"/>
    <n v="614"/>
    <x v="1"/>
    <x v="6"/>
    <x v="0"/>
    <s v="Yes"/>
    <s v="Y"/>
    <n v="3"/>
    <n v="-2"/>
    <n v="0"/>
    <x v="41"/>
    <x v="0"/>
    <x v="0"/>
    <n v="1"/>
    <n v="0"/>
    <n v="1306"/>
    <n v="5"/>
    <x v="3"/>
    <x v="0"/>
    <n v="2"/>
    <n v="69"/>
    <n v="3"/>
    <n v="1"/>
    <n v="1"/>
    <x v="443"/>
    <n v="8059"/>
    <n v="1"/>
    <n v="14"/>
    <n v="3"/>
    <n v="4"/>
    <n v="80"/>
    <n v="0"/>
    <n v="0"/>
    <n v="3"/>
    <n v="0"/>
    <n v="0"/>
    <n v="0"/>
    <n v="0"/>
  </r>
  <r>
    <x v="1"/>
    <s v="Non-Travel"/>
    <x v="0"/>
    <s v="Current Employees"/>
    <x v="0"/>
    <x v="1"/>
    <x v="458"/>
    <n v="615"/>
    <x v="1"/>
    <x v="0"/>
    <x v="2"/>
    <s v="No"/>
    <s v="Y"/>
    <n v="2"/>
    <n v="-2"/>
    <n v="0"/>
    <x v="32"/>
    <x v="1"/>
    <x v="1"/>
    <n v="0"/>
    <n v="1"/>
    <n v="1094"/>
    <n v="28"/>
    <x v="3"/>
    <x v="0"/>
    <n v="3"/>
    <n v="58"/>
    <n v="1"/>
    <n v="3"/>
    <n v="3"/>
    <x v="444"/>
    <n v="11373"/>
    <n v="3"/>
    <n v="15"/>
    <n v="3"/>
    <n v="3"/>
    <n v="80"/>
    <n v="1"/>
    <n v="20"/>
    <n v="3"/>
    <n v="1"/>
    <n v="0"/>
    <n v="0"/>
    <n v="1"/>
  </r>
  <r>
    <x v="1"/>
    <s v="Non-Travel"/>
    <x v="0"/>
    <s v="Current Employees"/>
    <x v="1"/>
    <x v="1"/>
    <x v="459"/>
    <n v="616"/>
    <x v="0"/>
    <x v="4"/>
    <x v="0"/>
    <s v="Yes"/>
    <s v="Y"/>
    <n v="3"/>
    <n v="-2"/>
    <n v="0"/>
    <x v="0"/>
    <x v="1"/>
    <x v="1"/>
    <n v="0"/>
    <n v="1"/>
    <n v="509"/>
    <n v="2"/>
    <x v="2"/>
    <x v="0"/>
    <n v="1"/>
    <n v="62"/>
    <n v="2"/>
    <n v="2"/>
    <n v="3"/>
    <x v="445"/>
    <n v="2112"/>
    <n v="2"/>
    <n v="17"/>
    <n v="3"/>
    <n v="1"/>
    <n v="80"/>
    <n v="0"/>
    <n v="10"/>
    <n v="3"/>
    <n v="8"/>
    <n v="7"/>
    <n v="0"/>
    <n v="7"/>
  </r>
  <r>
    <x v="1"/>
    <s v="Travel_Rarely"/>
    <x v="2"/>
    <s v="Current Employees"/>
    <x v="0"/>
    <x v="2"/>
    <x v="460"/>
    <n v="618"/>
    <x v="1"/>
    <x v="0"/>
    <x v="2"/>
    <s v="No"/>
    <s v="Y"/>
    <n v="5"/>
    <n v="-2"/>
    <n v="0"/>
    <x v="25"/>
    <x v="1"/>
    <x v="1"/>
    <n v="0"/>
    <n v="1"/>
    <n v="775"/>
    <n v="29"/>
    <x v="0"/>
    <x v="0"/>
    <n v="1"/>
    <n v="45"/>
    <n v="3"/>
    <n v="2"/>
    <n v="3"/>
    <x v="383"/>
    <n v="4267"/>
    <n v="5"/>
    <n v="12"/>
    <n v="3"/>
    <n v="1"/>
    <n v="80"/>
    <n v="2"/>
    <n v="8"/>
    <n v="3"/>
    <n v="0"/>
    <n v="0"/>
    <n v="0"/>
    <n v="0"/>
  </r>
  <r>
    <x v="1"/>
    <s v="Travel_Rarely"/>
    <x v="0"/>
    <s v="Current Employees"/>
    <x v="0"/>
    <x v="2"/>
    <x v="461"/>
    <n v="620"/>
    <x v="0"/>
    <x v="0"/>
    <x v="0"/>
    <s v="No"/>
    <s v="Y"/>
    <n v="3"/>
    <n v="-2"/>
    <n v="0"/>
    <x v="10"/>
    <x v="1"/>
    <x v="1"/>
    <n v="0"/>
    <n v="1"/>
    <n v="195"/>
    <n v="1"/>
    <x v="3"/>
    <x v="0"/>
    <n v="1"/>
    <n v="80"/>
    <n v="3"/>
    <n v="2"/>
    <n v="3"/>
    <x v="446"/>
    <n v="6698"/>
    <n v="1"/>
    <n v="16"/>
    <n v="3"/>
    <n v="4"/>
    <n v="80"/>
    <n v="0"/>
    <n v="5"/>
    <n v="3"/>
    <n v="5"/>
    <n v="4"/>
    <n v="0"/>
    <n v="3"/>
  </r>
  <r>
    <x v="1"/>
    <s v="Travel_Rarely"/>
    <x v="2"/>
    <s v="Current Employees"/>
    <x v="0"/>
    <x v="0"/>
    <x v="462"/>
    <n v="621"/>
    <x v="1"/>
    <x v="0"/>
    <x v="0"/>
    <s v="No"/>
    <s v="Y"/>
    <n v="3"/>
    <n v="-2"/>
    <n v="0"/>
    <x v="13"/>
    <x v="1"/>
    <x v="1"/>
    <n v="0"/>
    <n v="1"/>
    <n v="258"/>
    <n v="21"/>
    <x v="2"/>
    <x v="0"/>
    <n v="4"/>
    <n v="74"/>
    <n v="4"/>
    <n v="2"/>
    <n v="2"/>
    <x v="447"/>
    <n v="19921"/>
    <n v="1"/>
    <n v="12"/>
    <n v="3"/>
    <n v="4"/>
    <n v="80"/>
    <n v="0"/>
    <n v="10"/>
    <n v="3"/>
    <n v="10"/>
    <n v="7"/>
    <n v="5"/>
    <n v="7"/>
  </r>
  <r>
    <x v="0"/>
    <s v="Travel_Rarely"/>
    <x v="2"/>
    <s v="Ex-Employees"/>
    <x v="1"/>
    <x v="4"/>
    <x v="463"/>
    <n v="622"/>
    <x v="1"/>
    <x v="2"/>
    <x v="0"/>
    <s v="Yes"/>
    <s v="Y"/>
    <n v="3"/>
    <n v="-2"/>
    <n v="0"/>
    <x v="25"/>
    <x v="0"/>
    <x v="0"/>
    <n v="1"/>
    <n v="0"/>
    <n v="471"/>
    <n v="24"/>
    <x v="3"/>
    <x v="0"/>
    <n v="4"/>
    <n v="66"/>
    <n v="1"/>
    <n v="1"/>
    <n v="4"/>
    <x v="246"/>
    <n v="23213"/>
    <n v="1"/>
    <n v="18"/>
    <n v="3"/>
    <n v="2"/>
    <n v="80"/>
    <n v="0"/>
    <n v="1"/>
    <n v="1"/>
    <n v="1"/>
    <n v="0"/>
    <n v="0"/>
    <n v="0"/>
  </r>
  <r>
    <x v="1"/>
    <s v="Travel_Rarely"/>
    <x v="0"/>
    <s v="Current Employees"/>
    <x v="1"/>
    <x v="4"/>
    <x v="464"/>
    <n v="623"/>
    <x v="0"/>
    <x v="3"/>
    <x v="0"/>
    <s v="No"/>
    <s v="Y"/>
    <n v="3"/>
    <n v="-2"/>
    <n v="0"/>
    <x v="2"/>
    <x v="1"/>
    <x v="1"/>
    <n v="0"/>
    <n v="1"/>
    <n v="799"/>
    <n v="1"/>
    <x v="3"/>
    <x v="0"/>
    <n v="4"/>
    <n v="59"/>
    <n v="3"/>
    <n v="3"/>
    <n v="4"/>
    <x v="448"/>
    <n v="23848"/>
    <n v="4"/>
    <n v="17"/>
    <n v="3"/>
    <n v="4"/>
    <n v="80"/>
    <n v="0"/>
    <n v="12"/>
    <n v="4"/>
    <n v="6"/>
    <n v="5"/>
    <n v="1"/>
    <n v="2"/>
  </r>
  <r>
    <x v="1"/>
    <s v="Travel_Frequently"/>
    <x v="1"/>
    <s v="Current Employees"/>
    <x v="1"/>
    <x v="2"/>
    <x v="465"/>
    <n v="624"/>
    <x v="0"/>
    <x v="4"/>
    <x v="1"/>
    <s v="No"/>
    <s v="Y"/>
    <n v="3"/>
    <n v="-2"/>
    <n v="0"/>
    <x v="21"/>
    <x v="1"/>
    <x v="1"/>
    <n v="0"/>
    <n v="1"/>
    <n v="1034"/>
    <n v="18"/>
    <x v="1"/>
    <x v="0"/>
    <n v="1"/>
    <n v="86"/>
    <n v="3"/>
    <n v="3"/>
    <n v="3"/>
    <x v="449"/>
    <n v="8984"/>
    <n v="5"/>
    <n v="11"/>
    <n v="3"/>
    <n v="4"/>
    <n v="80"/>
    <n v="0"/>
    <n v="28"/>
    <n v="2"/>
    <n v="2"/>
    <n v="2"/>
    <n v="1"/>
    <n v="2"/>
  </r>
  <r>
    <x v="1"/>
    <s v="Travel_Rarely"/>
    <x v="0"/>
    <s v="Current Employees"/>
    <x v="0"/>
    <x v="0"/>
    <x v="466"/>
    <n v="625"/>
    <x v="0"/>
    <x v="5"/>
    <x v="1"/>
    <s v="No"/>
    <s v="Y"/>
    <n v="2"/>
    <n v="-2"/>
    <n v="0"/>
    <x v="0"/>
    <x v="1"/>
    <x v="1"/>
    <n v="0"/>
    <n v="1"/>
    <n v="1276"/>
    <n v="2"/>
    <x v="4"/>
    <x v="0"/>
    <n v="2"/>
    <n v="91"/>
    <n v="3"/>
    <n v="4"/>
    <n v="2"/>
    <x v="450"/>
    <n v="5626"/>
    <n v="7"/>
    <n v="16"/>
    <n v="3"/>
    <n v="2"/>
    <n v="80"/>
    <n v="1"/>
    <n v="22"/>
    <n v="3"/>
    <n v="18"/>
    <n v="16"/>
    <n v="11"/>
    <n v="8"/>
  </r>
  <r>
    <x v="1"/>
    <s v="Non-Travel"/>
    <x v="0"/>
    <s v="Current Employees"/>
    <x v="0"/>
    <x v="2"/>
    <x v="467"/>
    <n v="626"/>
    <x v="1"/>
    <x v="0"/>
    <x v="2"/>
    <s v="No"/>
    <s v="Y"/>
    <n v="6"/>
    <n v="-2"/>
    <n v="0"/>
    <x v="2"/>
    <x v="1"/>
    <x v="1"/>
    <n v="0"/>
    <n v="1"/>
    <n v="142"/>
    <n v="9"/>
    <x v="2"/>
    <x v="0"/>
    <n v="1"/>
    <n v="69"/>
    <n v="3"/>
    <n v="3"/>
    <n v="3"/>
    <x v="451"/>
    <n v="24666"/>
    <n v="1"/>
    <n v="13"/>
    <n v="3"/>
    <n v="4"/>
    <n v="80"/>
    <n v="1"/>
    <n v="9"/>
    <n v="3"/>
    <n v="9"/>
    <n v="5"/>
    <n v="7"/>
    <n v="7"/>
  </r>
  <r>
    <x v="1"/>
    <s v="Travel_Rarely"/>
    <x v="1"/>
    <s v="Current Employees"/>
    <x v="1"/>
    <x v="4"/>
    <x v="468"/>
    <n v="630"/>
    <x v="1"/>
    <x v="1"/>
    <x v="2"/>
    <s v="Yes"/>
    <s v="Y"/>
    <n v="3"/>
    <n v="-2"/>
    <n v="0"/>
    <x v="39"/>
    <x v="1"/>
    <x v="1"/>
    <n v="0"/>
    <n v="1"/>
    <n v="956"/>
    <n v="6"/>
    <x v="0"/>
    <x v="0"/>
    <n v="4"/>
    <n v="78"/>
    <n v="3"/>
    <n v="2"/>
    <n v="4"/>
    <x v="452"/>
    <n v="22087"/>
    <n v="3"/>
    <n v="12"/>
    <n v="3"/>
    <n v="2"/>
    <n v="80"/>
    <n v="2"/>
    <n v="18"/>
    <n v="3"/>
    <n v="10"/>
    <n v="9"/>
    <n v="6"/>
    <n v="9"/>
  </r>
  <r>
    <x v="0"/>
    <s v="Non-Travel"/>
    <x v="2"/>
    <s v="Ex-Employees"/>
    <x v="0"/>
    <x v="1"/>
    <x v="469"/>
    <n v="631"/>
    <x v="1"/>
    <x v="0"/>
    <x v="1"/>
    <s v="No"/>
    <s v="Y"/>
    <n v="2"/>
    <n v="-2"/>
    <n v="0"/>
    <x v="5"/>
    <x v="0"/>
    <x v="0"/>
    <n v="1"/>
    <n v="0"/>
    <n v="1474"/>
    <n v="11"/>
    <x v="2"/>
    <x v="0"/>
    <n v="4"/>
    <n v="60"/>
    <n v="4"/>
    <n v="2"/>
    <n v="3"/>
    <x v="453"/>
    <n v="23914"/>
    <n v="8"/>
    <n v="12"/>
    <n v="3"/>
    <n v="4"/>
    <n v="80"/>
    <n v="0"/>
    <n v="6"/>
    <n v="3"/>
    <n v="4"/>
    <n v="2"/>
    <n v="1"/>
    <n v="2"/>
  </r>
  <r>
    <x v="1"/>
    <s v="Travel_Frequently"/>
    <x v="4"/>
    <s v="Current Employees"/>
    <x v="0"/>
    <x v="2"/>
    <x v="470"/>
    <n v="632"/>
    <x v="1"/>
    <x v="6"/>
    <x v="1"/>
    <s v="No"/>
    <s v="Y"/>
    <n v="3"/>
    <n v="-2"/>
    <n v="0"/>
    <x v="17"/>
    <x v="1"/>
    <x v="1"/>
    <n v="0"/>
    <n v="1"/>
    <n v="535"/>
    <n v="24"/>
    <x v="3"/>
    <x v="0"/>
    <n v="4"/>
    <n v="38"/>
    <n v="3"/>
    <n v="1"/>
    <n v="4"/>
    <x v="454"/>
    <n v="5530"/>
    <n v="0"/>
    <n v="13"/>
    <n v="3"/>
    <n v="3"/>
    <n v="80"/>
    <n v="2"/>
    <n v="3"/>
    <n v="3"/>
    <n v="2"/>
    <n v="2"/>
    <n v="2"/>
    <n v="1"/>
  </r>
  <r>
    <x v="1"/>
    <s v="Travel_Rarely"/>
    <x v="0"/>
    <s v="Current Employees"/>
    <x v="1"/>
    <x v="2"/>
    <x v="471"/>
    <n v="634"/>
    <x v="0"/>
    <x v="4"/>
    <x v="1"/>
    <s v="No"/>
    <s v="Y"/>
    <n v="4"/>
    <n v="-2"/>
    <n v="0"/>
    <x v="8"/>
    <x v="1"/>
    <x v="1"/>
    <n v="0"/>
    <n v="1"/>
    <n v="1495"/>
    <n v="10"/>
    <x v="3"/>
    <x v="0"/>
    <n v="3"/>
    <n v="76"/>
    <n v="3"/>
    <n v="2"/>
    <n v="3"/>
    <x v="427"/>
    <n v="22174"/>
    <n v="3"/>
    <n v="19"/>
    <n v="3"/>
    <n v="3"/>
    <n v="80"/>
    <n v="1"/>
    <n v="18"/>
    <n v="3"/>
    <n v="1"/>
    <n v="0"/>
    <n v="0"/>
    <n v="0"/>
  </r>
  <r>
    <x v="1"/>
    <s v="Travel_Rarely"/>
    <x v="0"/>
    <s v="Current Employees"/>
    <x v="1"/>
    <x v="0"/>
    <x v="472"/>
    <n v="635"/>
    <x v="0"/>
    <x v="3"/>
    <x v="1"/>
    <s v="No"/>
    <s v="Y"/>
    <n v="2"/>
    <n v="-2"/>
    <n v="0"/>
    <x v="2"/>
    <x v="1"/>
    <x v="1"/>
    <n v="0"/>
    <n v="1"/>
    <n v="446"/>
    <n v="1"/>
    <x v="2"/>
    <x v="0"/>
    <n v="2"/>
    <n v="65"/>
    <n v="3"/>
    <n v="2"/>
    <n v="2"/>
    <x v="455"/>
    <n v="15701"/>
    <n v="6"/>
    <n v="12"/>
    <n v="3"/>
    <n v="2"/>
    <n v="80"/>
    <n v="1"/>
    <n v="8"/>
    <n v="2"/>
    <n v="6"/>
    <n v="5"/>
    <n v="4"/>
    <n v="3"/>
  </r>
  <r>
    <x v="1"/>
    <s v="Travel_Rarely"/>
    <x v="1"/>
    <s v="Current Employees"/>
    <x v="1"/>
    <x v="0"/>
    <x v="473"/>
    <n v="638"/>
    <x v="1"/>
    <x v="7"/>
    <x v="2"/>
    <s v="Yes"/>
    <s v="Y"/>
    <n v="5"/>
    <n v="-2"/>
    <n v="0"/>
    <x v="1"/>
    <x v="1"/>
    <x v="1"/>
    <n v="0"/>
    <n v="1"/>
    <n v="1245"/>
    <n v="18"/>
    <x v="2"/>
    <x v="0"/>
    <n v="4"/>
    <n v="58"/>
    <n v="2"/>
    <n v="5"/>
    <n v="2"/>
    <x v="456"/>
    <n v="2125"/>
    <n v="1"/>
    <n v="17"/>
    <n v="3"/>
    <n v="3"/>
    <n v="80"/>
    <n v="1"/>
    <n v="31"/>
    <n v="3"/>
    <n v="31"/>
    <n v="9"/>
    <n v="0"/>
    <n v="9"/>
  </r>
  <r>
    <x v="1"/>
    <s v="Travel_Rarely"/>
    <x v="4"/>
    <s v="Current Employees"/>
    <x v="1"/>
    <x v="2"/>
    <x v="474"/>
    <n v="639"/>
    <x v="1"/>
    <x v="1"/>
    <x v="1"/>
    <s v="Yes"/>
    <s v="Y"/>
    <n v="3"/>
    <n v="-2"/>
    <n v="0"/>
    <x v="17"/>
    <x v="1"/>
    <x v="1"/>
    <n v="0"/>
    <n v="1"/>
    <n v="691"/>
    <n v="23"/>
    <x v="3"/>
    <x v="0"/>
    <n v="2"/>
    <n v="89"/>
    <n v="4"/>
    <n v="1"/>
    <n v="4"/>
    <x v="457"/>
    <n v="21630"/>
    <n v="1"/>
    <n v="11"/>
    <n v="3"/>
    <n v="2"/>
    <n v="80"/>
    <n v="2"/>
    <n v="6"/>
    <n v="3"/>
    <n v="6"/>
    <n v="5"/>
    <n v="1"/>
    <n v="4"/>
  </r>
  <r>
    <x v="1"/>
    <s v="Travel_Rarely"/>
    <x v="2"/>
    <s v="Current Employees"/>
    <x v="0"/>
    <x v="3"/>
    <x v="475"/>
    <n v="641"/>
    <x v="1"/>
    <x v="0"/>
    <x v="1"/>
    <s v="No"/>
    <s v="Y"/>
    <n v="5"/>
    <n v="-2"/>
    <n v="0"/>
    <x v="25"/>
    <x v="1"/>
    <x v="1"/>
    <n v="0"/>
    <n v="1"/>
    <n v="703"/>
    <n v="28"/>
    <x v="0"/>
    <x v="0"/>
    <n v="1"/>
    <n v="66"/>
    <n v="3"/>
    <n v="2"/>
    <n v="1"/>
    <x v="458"/>
    <n v="7428"/>
    <n v="1"/>
    <n v="20"/>
    <n v="4"/>
    <n v="4"/>
    <n v="80"/>
    <n v="2"/>
    <n v="6"/>
    <n v="4"/>
    <n v="5"/>
    <n v="3"/>
    <n v="1"/>
    <n v="4"/>
  </r>
  <r>
    <x v="1"/>
    <s v="Travel_Rarely"/>
    <x v="4"/>
    <s v="Current Employees"/>
    <x v="1"/>
    <x v="1"/>
    <x v="476"/>
    <n v="643"/>
    <x v="1"/>
    <x v="2"/>
    <x v="1"/>
    <s v="No"/>
    <s v="Y"/>
    <n v="2"/>
    <n v="-2"/>
    <n v="0"/>
    <x v="17"/>
    <x v="1"/>
    <x v="1"/>
    <n v="0"/>
    <n v="1"/>
    <n v="823"/>
    <n v="17"/>
    <x v="0"/>
    <x v="0"/>
    <n v="4"/>
    <n v="94"/>
    <n v="2"/>
    <n v="1"/>
    <n v="3"/>
    <x v="459"/>
    <n v="9100"/>
    <n v="1"/>
    <n v="21"/>
    <n v="4"/>
    <n v="4"/>
    <n v="80"/>
    <n v="1"/>
    <n v="1"/>
    <n v="3"/>
    <n v="1"/>
    <n v="0"/>
    <n v="0"/>
    <n v="0"/>
  </r>
  <r>
    <x v="1"/>
    <s v="Travel_Frequently"/>
    <x v="1"/>
    <s v="Current Employees"/>
    <x v="2"/>
    <x v="2"/>
    <x v="477"/>
    <n v="644"/>
    <x v="1"/>
    <x v="5"/>
    <x v="1"/>
    <s v="No"/>
    <s v="Y"/>
    <n v="2"/>
    <n v="-2"/>
    <n v="0"/>
    <x v="24"/>
    <x v="1"/>
    <x v="1"/>
    <n v="0"/>
    <n v="1"/>
    <n v="1246"/>
    <n v="3"/>
    <x v="3"/>
    <x v="0"/>
    <n v="1"/>
    <n v="99"/>
    <n v="3"/>
    <n v="5"/>
    <n v="3"/>
    <x v="460"/>
    <n v="7999"/>
    <n v="1"/>
    <n v="11"/>
    <n v="3"/>
    <n v="3"/>
    <n v="80"/>
    <n v="1"/>
    <n v="32"/>
    <n v="3"/>
    <n v="32"/>
    <n v="5"/>
    <n v="10"/>
    <n v="7"/>
  </r>
  <r>
    <x v="1"/>
    <s v="Travel_Rarely"/>
    <x v="2"/>
    <s v="Current Employees"/>
    <x v="0"/>
    <x v="2"/>
    <x v="478"/>
    <n v="645"/>
    <x v="1"/>
    <x v="6"/>
    <x v="1"/>
    <s v="No"/>
    <s v="Y"/>
    <n v="1"/>
    <n v="-2"/>
    <n v="0"/>
    <x v="36"/>
    <x v="1"/>
    <x v="1"/>
    <n v="0"/>
    <n v="1"/>
    <n v="622"/>
    <n v="13"/>
    <x v="1"/>
    <x v="0"/>
    <n v="2"/>
    <n v="40"/>
    <n v="3"/>
    <n v="1"/>
    <n v="3"/>
    <x v="461"/>
    <n v="26376"/>
    <n v="1"/>
    <n v="11"/>
    <n v="3"/>
    <n v="3"/>
    <n v="80"/>
    <n v="0"/>
    <n v="7"/>
    <n v="3"/>
    <n v="7"/>
    <n v="4"/>
    <n v="0"/>
    <n v="6"/>
  </r>
  <r>
    <x v="0"/>
    <s v="Travel_Frequently"/>
    <x v="4"/>
    <s v="Ex-Employees"/>
    <x v="1"/>
    <x v="0"/>
    <x v="479"/>
    <n v="647"/>
    <x v="0"/>
    <x v="2"/>
    <x v="1"/>
    <s v="Yes"/>
    <s v="Y"/>
    <n v="4"/>
    <n v="-2"/>
    <n v="0"/>
    <x v="17"/>
    <x v="0"/>
    <x v="0"/>
    <n v="1"/>
    <n v="0"/>
    <n v="1287"/>
    <n v="7"/>
    <x v="3"/>
    <x v="0"/>
    <n v="1"/>
    <n v="55"/>
    <n v="3"/>
    <n v="1"/>
    <n v="2"/>
    <x v="407"/>
    <n v="14168"/>
    <n v="1"/>
    <n v="16"/>
    <n v="3"/>
    <n v="4"/>
    <n v="80"/>
    <n v="1"/>
    <n v="6"/>
    <n v="3"/>
    <n v="6"/>
    <n v="3"/>
    <n v="1"/>
    <n v="2"/>
  </r>
  <r>
    <x v="0"/>
    <s v="Travel_Frequently"/>
    <x v="2"/>
    <s v="Ex-Employees"/>
    <x v="0"/>
    <x v="0"/>
    <x v="480"/>
    <n v="648"/>
    <x v="1"/>
    <x v="6"/>
    <x v="1"/>
    <s v="No"/>
    <s v="Y"/>
    <n v="2"/>
    <n v="-2"/>
    <n v="0"/>
    <x v="7"/>
    <x v="0"/>
    <x v="0"/>
    <n v="1"/>
    <n v="0"/>
    <n v="448"/>
    <n v="12"/>
    <x v="2"/>
    <x v="0"/>
    <n v="2"/>
    <n v="74"/>
    <n v="2"/>
    <n v="1"/>
    <n v="2"/>
    <x v="462"/>
    <n v="14470"/>
    <n v="1"/>
    <n v="18"/>
    <n v="3"/>
    <n v="3"/>
    <n v="80"/>
    <n v="1"/>
    <n v="1"/>
    <n v="4"/>
    <n v="1"/>
    <n v="0"/>
    <n v="0"/>
    <n v="0"/>
  </r>
  <r>
    <x v="1"/>
    <s v="Travel_Rarely"/>
    <x v="2"/>
    <s v="Current Employees"/>
    <x v="1"/>
    <x v="0"/>
    <x v="481"/>
    <n v="649"/>
    <x v="1"/>
    <x v="1"/>
    <x v="1"/>
    <s v="Yes"/>
    <s v="Y"/>
    <n v="3"/>
    <n v="-2"/>
    <n v="0"/>
    <x v="13"/>
    <x v="1"/>
    <x v="1"/>
    <n v="0"/>
    <n v="1"/>
    <n v="254"/>
    <n v="1"/>
    <x v="0"/>
    <x v="0"/>
    <n v="2"/>
    <n v="83"/>
    <n v="2"/>
    <n v="1"/>
    <n v="2"/>
    <x v="463"/>
    <n v="22794"/>
    <n v="1"/>
    <n v="13"/>
    <n v="3"/>
    <n v="4"/>
    <n v="80"/>
    <n v="1"/>
    <n v="6"/>
    <n v="3"/>
    <n v="6"/>
    <n v="5"/>
    <n v="1"/>
    <n v="3"/>
  </r>
  <r>
    <x v="0"/>
    <s v="Travel_Rarely"/>
    <x v="2"/>
    <s v="Ex-Employees"/>
    <x v="0"/>
    <x v="2"/>
    <x v="482"/>
    <n v="650"/>
    <x v="1"/>
    <x v="0"/>
    <x v="2"/>
    <s v="No"/>
    <s v="Y"/>
    <n v="2"/>
    <n v="-2"/>
    <n v="0"/>
    <x v="12"/>
    <x v="0"/>
    <x v="0"/>
    <n v="1"/>
    <n v="0"/>
    <n v="1365"/>
    <n v="13"/>
    <x v="2"/>
    <x v="0"/>
    <n v="2"/>
    <n v="46"/>
    <n v="3"/>
    <n v="2"/>
    <n v="3"/>
    <x v="464"/>
    <n v="11512"/>
    <n v="2"/>
    <n v="17"/>
    <n v="3"/>
    <n v="3"/>
    <n v="80"/>
    <n v="0"/>
    <n v="9"/>
    <n v="1"/>
    <n v="3"/>
    <n v="1"/>
    <n v="1"/>
    <n v="2"/>
  </r>
  <r>
    <x v="1"/>
    <s v="Travel_Rarely"/>
    <x v="0"/>
    <s v="Current Employees"/>
    <x v="1"/>
    <x v="1"/>
    <x v="483"/>
    <n v="652"/>
    <x v="1"/>
    <x v="2"/>
    <x v="0"/>
    <s v="No"/>
    <s v="Y"/>
    <n v="3"/>
    <n v="-2"/>
    <n v="0"/>
    <x v="10"/>
    <x v="1"/>
    <x v="1"/>
    <n v="0"/>
    <n v="1"/>
    <n v="538"/>
    <n v="25"/>
    <x v="0"/>
    <x v="0"/>
    <n v="1"/>
    <n v="54"/>
    <n v="2"/>
    <n v="2"/>
    <n v="4"/>
    <x v="465"/>
    <n v="14004"/>
    <n v="4"/>
    <n v="14"/>
    <n v="3"/>
    <n v="4"/>
    <n v="80"/>
    <n v="0"/>
    <n v="9"/>
    <n v="3"/>
    <n v="3"/>
    <n v="2"/>
    <n v="0"/>
    <n v="2"/>
  </r>
  <r>
    <x v="1"/>
    <s v="Travel_Rarely"/>
    <x v="2"/>
    <s v="Current Employees"/>
    <x v="0"/>
    <x v="2"/>
    <x v="484"/>
    <n v="653"/>
    <x v="1"/>
    <x v="0"/>
    <x v="2"/>
    <s v="No"/>
    <s v="Y"/>
    <n v="4"/>
    <n v="-2"/>
    <n v="0"/>
    <x v="12"/>
    <x v="1"/>
    <x v="1"/>
    <n v="0"/>
    <n v="1"/>
    <n v="525"/>
    <n v="6"/>
    <x v="2"/>
    <x v="0"/>
    <n v="1"/>
    <n v="66"/>
    <n v="4"/>
    <n v="2"/>
    <n v="4"/>
    <x v="466"/>
    <n v="6219"/>
    <n v="4"/>
    <n v="22"/>
    <n v="4"/>
    <n v="4"/>
    <n v="80"/>
    <n v="2"/>
    <n v="13"/>
    <n v="4"/>
    <n v="7"/>
    <n v="7"/>
    <n v="5"/>
    <n v="7"/>
  </r>
  <r>
    <x v="1"/>
    <s v="Travel_Rarely"/>
    <x v="2"/>
    <s v="Current Employees"/>
    <x v="1"/>
    <x v="2"/>
    <x v="485"/>
    <n v="655"/>
    <x v="0"/>
    <x v="1"/>
    <x v="2"/>
    <s v="No"/>
    <s v="Y"/>
    <n v="5"/>
    <n v="-2"/>
    <n v="0"/>
    <x v="4"/>
    <x v="1"/>
    <x v="1"/>
    <n v="0"/>
    <n v="1"/>
    <n v="798"/>
    <n v="6"/>
    <x v="2"/>
    <x v="0"/>
    <n v="1"/>
    <n v="66"/>
    <n v="2"/>
    <n v="1"/>
    <n v="3"/>
    <x v="467"/>
    <n v="5013"/>
    <n v="0"/>
    <n v="12"/>
    <n v="3"/>
    <n v="3"/>
    <n v="80"/>
    <n v="2"/>
    <n v="6"/>
    <n v="2"/>
    <n v="5"/>
    <n v="3"/>
    <n v="0"/>
    <n v="3"/>
  </r>
  <r>
    <x v="1"/>
    <s v="Travel_Rarely"/>
    <x v="0"/>
    <s v="Current Employees"/>
    <x v="0"/>
    <x v="3"/>
    <x v="486"/>
    <n v="656"/>
    <x v="1"/>
    <x v="0"/>
    <x v="1"/>
    <s v="Yes"/>
    <s v="Y"/>
    <n v="3"/>
    <n v="-2"/>
    <n v="0"/>
    <x v="2"/>
    <x v="1"/>
    <x v="1"/>
    <n v="0"/>
    <n v="1"/>
    <n v="558"/>
    <n v="2"/>
    <x v="3"/>
    <x v="0"/>
    <n v="4"/>
    <n v="75"/>
    <n v="3"/>
    <n v="2"/>
    <n v="1"/>
    <x v="468"/>
    <n v="3010"/>
    <n v="4"/>
    <n v="11"/>
    <n v="3"/>
    <n v="3"/>
    <n v="80"/>
    <n v="1"/>
    <n v="17"/>
    <n v="2"/>
    <n v="3"/>
    <n v="0"/>
    <n v="1"/>
    <n v="0"/>
  </r>
  <r>
    <x v="1"/>
    <s v="Travel_Rarely"/>
    <x v="4"/>
    <s v="Current Employees"/>
    <x v="1"/>
    <x v="0"/>
    <x v="487"/>
    <n v="657"/>
    <x v="0"/>
    <x v="1"/>
    <x v="0"/>
    <s v="No"/>
    <s v="Y"/>
    <n v="0"/>
    <n v="-2"/>
    <n v="0"/>
    <x v="35"/>
    <x v="1"/>
    <x v="1"/>
    <n v="0"/>
    <n v="1"/>
    <n v="959"/>
    <n v="1"/>
    <x v="3"/>
    <x v="0"/>
    <n v="4"/>
    <n v="83"/>
    <n v="2"/>
    <n v="1"/>
    <n v="2"/>
    <x v="469"/>
    <n v="11757"/>
    <n v="1"/>
    <n v="13"/>
    <n v="3"/>
    <n v="4"/>
    <n v="80"/>
    <n v="0"/>
    <n v="1"/>
    <n v="4"/>
    <n v="1"/>
    <n v="0"/>
    <n v="0"/>
    <n v="0"/>
  </r>
  <r>
    <x v="1"/>
    <s v="Travel_Rarely"/>
    <x v="0"/>
    <s v="Current Employees"/>
    <x v="1"/>
    <x v="0"/>
    <x v="488"/>
    <n v="659"/>
    <x v="0"/>
    <x v="4"/>
    <x v="1"/>
    <s v="No"/>
    <s v="Y"/>
    <n v="4"/>
    <n v="-2"/>
    <n v="0"/>
    <x v="19"/>
    <x v="1"/>
    <x v="1"/>
    <n v="0"/>
    <n v="1"/>
    <n v="622"/>
    <n v="2"/>
    <x v="2"/>
    <x v="0"/>
    <n v="3"/>
    <n v="81"/>
    <n v="3"/>
    <n v="2"/>
    <n v="2"/>
    <x v="470"/>
    <n v="5718"/>
    <n v="1"/>
    <n v="13"/>
    <n v="3"/>
    <n v="2"/>
    <n v="80"/>
    <n v="2"/>
    <n v="10"/>
    <n v="3"/>
    <n v="10"/>
    <n v="2"/>
    <n v="2"/>
    <n v="2"/>
  </r>
  <r>
    <x v="1"/>
    <s v="Travel_Rarely"/>
    <x v="0"/>
    <s v="Current Employees"/>
    <x v="1"/>
    <x v="1"/>
    <x v="489"/>
    <n v="661"/>
    <x v="1"/>
    <x v="7"/>
    <x v="2"/>
    <s v="Yes"/>
    <s v="Y"/>
    <n v="3"/>
    <n v="-2"/>
    <n v="0"/>
    <x v="23"/>
    <x v="1"/>
    <x v="1"/>
    <n v="0"/>
    <n v="1"/>
    <n v="782"/>
    <n v="6"/>
    <x v="2"/>
    <x v="0"/>
    <n v="2"/>
    <n v="50"/>
    <n v="2"/>
    <n v="4"/>
    <n v="4"/>
    <x v="471"/>
    <n v="2671"/>
    <n v="4"/>
    <n v="14"/>
    <n v="3"/>
    <n v="3"/>
    <n v="80"/>
    <n v="1"/>
    <n v="21"/>
    <n v="2"/>
    <n v="1"/>
    <n v="0"/>
    <n v="0"/>
    <n v="0"/>
  </r>
  <r>
    <x v="1"/>
    <s v="Travel_Rarely"/>
    <x v="0"/>
    <s v="Current Employees"/>
    <x v="1"/>
    <x v="0"/>
    <x v="490"/>
    <n v="662"/>
    <x v="0"/>
    <x v="1"/>
    <x v="0"/>
    <s v="No"/>
    <s v="Y"/>
    <n v="3"/>
    <n v="-2"/>
    <n v="0"/>
    <x v="8"/>
    <x v="1"/>
    <x v="1"/>
    <n v="0"/>
    <n v="1"/>
    <n v="362"/>
    <n v="1"/>
    <x v="1"/>
    <x v="0"/>
    <n v="3"/>
    <n v="43"/>
    <n v="3"/>
    <n v="1"/>
    <n v="2"/>
    <x v="472"/>
    <n v="14561"/>
    <n v="3"/>
    <n v="17"/>
    <n v="3"/>
    <n v="4"/>
    <n v="80"/>
    <n v="0"/>
    <n v="8"/>
    <n v="2"/>
    <n v="0"/>
    <n v="0"/>
    <n v="0"/>
    <n v="0"/>
  </r>
  <r>
    <x v="1"/>
    <s v="Travel_Frequently"/>
    <x v="0"/>
    <s v="Current Employees"/>
    <x v="1"/>
    <x v="2"/>
    <x v="491"/>
    <n v="663"/>
    <x v="1"/>
    <x v="2"/>
    <x v="2"/>
    <s v="Yes"/>
    <s v="Y"/>
    <n v="3"/>
    <n v="-2"/>
    <n v="0"/>
    <x v="23"/>
    <x v="1"/>
    <x v="1"/>
    <n v="0"/>
    <n v="1"/>
    <n v="1001"/>
    <n v="9"/>
    <x v="4"/>
    <x v="0"/>
    <n v="4"/>
    <n v="72"/>
    <n v="3"/>
    <n v="2"/>
    <n v="3"/>
    <x v="473"/>
    <n v="19627"/>
    <n v="3"/>
    <n v="13"/>
    <n v="3"/>
    <n v="2"/>
    <n v="80"/>
    <n v="1"/>
    <n v="10"/>
    <n v="3"/>
    <n v="8"/>
    <n v="7"/>
    <n v="4"/>
    <n v="7"/>
  </r>
  <r>
    <x v="1"/>
    <s v="Travel_Rarely"/>
    <x v="1"/>
    <s v="Current Employees"/>
    <x v="1"/>
    <x v="0"/>
    <x v="492"/>
    <n v="664"/>
    <x v="0"/>
    <x v="5"/>
    <x v="1"/>
    <s v="No"/>
    <s v="Y"/>
    <n v="3"/>
    <n v="-2"/>
    <n v="0"/>
    <x v="26"/>
    <x v="1"/>
    <x v="1"/>
    <n v="0"/>
    <n v="1"/>
    <n v="1236"/>
    <n v="1"/>
    <x v="2"/>
    <x v="0"/>
    <n v="4"/>
    <n v="40"/>
    <n v="2"/>
    <n v="4"/>
    <n v="2"/>
    <x v="474"/>
    <n v="17997"/>
    <n v="7"/>
    <n v="11"/>
    <n v="3"/>
    <n v="1"/>
    <n v="80"/>
    <n v="1"/>
    <n v="21"/>
    <n v="1"/>
    <n v="3"/>
    <n v="2"/>
    <n v="0"/>
    <n v="2"/>
  </r>
  <r>
    <x v="1"/>
    <s v="Travel_Rarely"/>
    <x v="0"/>
    <s v="Current Employees"/>
    <x v="2"/>
    <x v="0"/>
    <x v="493"/>
    <n v="665"/>
    <x v="0"/>
    <x v="8"/>
    <x v="0"/>
    <s v="No"/>
    <s v="Y"/>
    <n v="1"/>
    <n v="-2"/>
    <n v="0"/>
    <x v="20"/>
    <x v="1"/>
    <x v="1"/>
    <n v="0"/>
    <n v="1"/>
    <n v="1112"/>
    <n v="1"/>
    <x v="2"/>
    <x v="0"/>
    <n v="1"/>
    <n v="50"/>
    <n v="2"/>
    <n v="2"/>
    <n v="2"/>
    <x v="475"/>
    <n v="26894"/>
    <n v="4"/>
    <n v="11"/>
    <n v="3"/>
    <n v="2"/>
    <n v="80"/>
    <n v="0"/>
    <n v="10"/>
    <n v="4"/>
    <n v="2"/>
    <n v="2"/>
    <n v="0"/>
    <n v="2"/>
  </r>
  <r>
    <x v="1"/>
    <s v="Travel_Rarely"/>
    <x v="2"/>
    <s v="Current Employees"/>
    <x v="0"/>
    <x v="4"/>
    <x v="494"/>
    <n v="666"/>
    <x v="0"/>
    <x v="6"/>
    <x v="2"/>
    <s v="Yes"/>
    <s v="Y"/>
    <n v="3"/>
    <n v="-2"/>
    <n v="0"/>
    <x v="13"/>
    <x v="1"/>
    <x v="1"/>
    <n v="0"/>
    <n v="1"/>
    <n v="204"/>
    <n v="14"/>
    <x v="3"/>
    <x v="0"/>
    <n v="4"/>
    <n v="31"/>
    <n v="3"/>
    <n v="1"/>
    <n v="4"/>
    <x v="476"/>
    <n v="2912"/>
    <n v="1"/>
    <n v="18"/>
    <n v="3"/>
    <n v="4"/>
    <n v="80"/>
    <n v="2"/>
    <n v="8"/>
    <n v="3"/>
    <n v="8"/>
    <n v="2"/>
    <n v="0"/>
    <n v="6"/>
  </r>
  <r>
    <x v="0"/>
    <s v="Travel_Rarely"/>
    <x v="2"/>
    <s v="Ex-Employees"/>
    <x v="0"/>
    <x v="3"/>
    <x v="495"/>
    <n v="667"/>
    <x v="1"/>
    <x v="6"/>
    <x v="2"/>
    <s v="No"/>
    <s v="Y"/>
    <n v="3"/>
    <n v="-2"/>
    <n v="0"/>
    <x v="4"/>
    <x v="0"/>
    <x v="0"/>
    <n v="1"/>
    <n v="0"/>
    <n v="1420"/>
    <n v="2"/>
    <x v="1"/>
    <x v="0"/>
    <n v="3"/>
    <n v="85"/>
    <n v="3"/>
    <n v="1"/>
    <n v="1"/>
    <x v="477"/>
    <n v="16346"/>
    <n v="0"/>
    <n v="11"/>
    <n v="3"/>
    <n v="2"/>
    <n v="80"/>
    <n v="1"/>
    <n v="5"/>
    <n v="3"/>
    <n v="4"/>
    <n v="3"/>
    <n v="0"/>
    <n v="2"/>
  </r>
  <r>
    <x v="1"/>
    <s v="Travel_Rarely"/>
    <x v="4"/>
    <s v="Current Employees"/>
    <x v="0"/>
    <x v="4"/>
    <x v="496"/>
    <n v="669"/>
    <x v="1"/>
    <x v="6"/>
    <x v="0"/>
    <s v="No"/>
    <s v="Y"/>
    <n v="2"/>
    <n v="-2"/>
    <n v="0"/>
    <x v="18"/>
    <x v="1"/>
    <x v="1"/>
    <n v="0"/>
    <n v="1"/>
    <n v="1343"/>
    <n v="22"/>
    <x v="1"/>
    <x v="0"/>
    <n v="4"/>
    <n v="49"/>
    <n v="3"/>
    <n v="1"/>
    <n v="4"/>
    <x v="478"/>
    <n v="24444"/>
    <n v="1"/>
    <n v="11"/>
    <n v="3"/>
    <n v="3"/>
    <n v="80"/>
    <n v="0"/>
    <n v="3"/>
    <n v="3"/>
    <n v="3"/>
    <n v="2"/>
    <n v="1"/>
    <n v="2"/>
  </r>
  <r>
    <x v="1"/>
    <s v="Travel_Rarely"/>
    <x v="0"/>
    <s v="Current Employees"/>
    <x v="1"/>
    <x v="1"/>
    <x v="497"/>
    <n v="671"/>
    <x v="1"/>
    <x v="5"/>
    <x v="1"/>
    <s v="Yes"/>
    <s v="Y"/>
    <n v="2"/>
    <n v="-2"/>
    <n v="0"/>
    <x v="20"/>
    <x v="1"/>
    <x v="1"/>
    <n v="0"/>
    <n v="1"/>
    <n v="1315"/>
    <n v="3"/>
    <x v="2"/>
    <x v="0"/>
    <n v="4"/>
    <n v="35"/>
    <n v="3"/>
    <n v="5"/>
    <n v="4"/>
    <x v="479"/>
    <n v="9358"/>
    <n v="4"/>
    <n v="12"/>
    <n v="3"/>
    <n v="1"/>
    <n v="80"/>
    <n v="1"/>
    <n v="26"/>
    <n v="4"/>
    <n v="2"/>
    <n v="2"/>
    <n v="0"/>
    <n v="1"/>
  </r>
  <r>
    <x v="1"/>
    <s v="Travel_Rarely"/>
    <x v="4"/>
    <s v="Current Employees"/>
    <x v="1"/>
    <x v="2"/>
    <x v="498"/>
    <n v="675"/>
    <x v="1"/>
    <x v="1"/>
    <x v="1"/>
    <s v="No"/>
    <s v="Y"/>
    <n v="3"/>
    <n v="-2"/>
    <n v="0"/>
    <x v="15"/>
    <x v="1"/>
    <x v="1"/>
    <n v="0"/>
    <n v="1"/>
    <n v="604"/>
    <n v="6"/>
    <x v="1"/>
    <x v="0"/>
    <n v="1"/>
    <n v="69"/>
    <n v="3"/>
    <n v="1"/>
    <n v="3"/>
    <x v="480"/>
    <n v="12145"/>
    <n v="0"/>
    <n v="20"/>
    <n v="4"/>
    <n v="4"/>
    <n v="80"/>
    <n v="0"/>
    <n v="3"/>
    <n v="3"/>
    <n v="2"/>
    <n v="2"/>
    <n v="2"/>
    <n v="2"/>
  </r>
  <r>
    <x v="1"/>
    <s v="Travel_Rarely"/>
    <x v="2"/>
    <s v="Current Employees"/>
    <x v="0"/>
    <x v="3"/>
    <x v="499"/>
    <n v="677"/>
    <x v="1"/>
    <x v="0"/>
    <x v="2"/>
    <s v="No"/>
    <s v="Y"/>
    <n v="3"/>
    <n v="-2"/>
    <n v="0"/>
    <x v="3"/>
    <x v="1"/>
    <x v="1"/>
    <n v="0"/>
    <n v="1"/>
    <n v="1216"/>
    <n v="8"/>
    <x v="2"/>
    <x v="0"/>
    <n v="3"/>
    <n v="39"/>
    <n v="3"/>
    <n v="2"/>
    <n v="1"/>
    <x v="481"/>
    <n v="20431"/>
    <n v="0"/>
    <n v="12"/>
    <n v="3"/>
    <n v="4"/>
    <n v="80"/>
    <n v="0"/>
    <n v="6"/>
    <n v="3"/>
    <n v="5"/>
    <n v="0"/>
    <n v="1"/>
    <n v="2"/>
  </r>
  <r>
    <x v="1"/>
    <s v="Travel_Rarely"/>
    <x v="2"/>
    <s v="Current Employees"/>
    <x v="1"/>
    <x v="0"/>
    <x v="500"/>
    <n v="679"/>
    <x v="0"/>
    <x v="1"/>
    <x v="1"/>
    <s v="Yes"/>
    <s v="Y"/>
    <n v="2"/>
    <n v="-2"/>
    <n v="0"/>
    <x v="5"/>
    <x v="1"/>
    <x v="1"/>
    <n v="0"/>
    <n v="1"/>
    <n v="646"/>
    <n v="9"/>
    <x v="2"/>
    <x v="0"/>
    <n v="1"/>
    <n v="92"/>
    <n v="3"/>
    <n v="2"/>
    <n v="2"/>
    <x v="482"/>
    <n v="18089"/>
    <n v="1"/>
    <n v="12"/>
    <n v="3"/>
    <n v="4"/>
    <n v="80"/>
    <n v="1"/>
    <n v="6"/>
    <n v="2"/>
    <n v="6"/>
    <n v="4"/>
    <n v="0"/>
    <n v="5"/>
  </r>
  <r>
    <x v="1"/>
    <s v="Travel_Frequently"/>
    <x v="2"/>
    <s v="Current Employees"/>
    <x v="1"/>
    <x v="2"/>
    <x v="501"/>
    <n v="680"/>
    <x v="0"/>
    <x v="1"/>
    <x v="2"/>
    <s v="No"/>
    <s v="Y"/>
    <n v="2"/>
    <n v="-2"/>
    <n v="0"/>
    <x v="7"/>
    <x v="1"/>
    <x v="1"/>
    <n v="0"/>
    <n v="1"/>
    <n v="160"/>
    <n v="3"/>
    <x v="3"/>
    <x v="0"/>
    <n v="3"/>
    <n v="71"/>
    <n v="3"/>
    <n v="1"/>
    <n v="3"/>
    <x v="483"/>
    <n v="22653"/>
    <n v="1"/>
    <n v="20"/>
    <n v="4"/>
    <n v="3"/>
    <n v="80"/>
    <n v="1"/>
    <n v="1"/>
    <n v="3"/>
    <n v="1"/>
    <n v="0"/>
    <n v="0"/>
    <n v="0"/>
  </r>
  <r>
    <x v="1"/>
    <s v="Travel_Rarely"/>
    <x v="1"/>
    <s v="Current Employees"/>
    <x v="0"/>
    <x v="2"/>
    <x v="502"/>
    <n v="682"/>
    <x v="0"/>
    <x v="0"/>
    <x v="0"/>
    <s v="No"/>
    <s v="Y"/>
    <n v="2"/>
    <n v="-2"/>
    <n v="0"/>
    <x v="16"/>
    <x v="1"/>
    <x v="1"/>
    <n v="0"/>
    <n v="1"/>
    <n v="238"/>
    <n v="1"/>
    <x v="1"/>
    <x v="0"/>
    <n v="4"/>
    <n v="34"/>
    <n v="3"/>
    <n v="2"/>
    <n v="3"/>
    <x v="484"/>
    <n v="7507"/>
    <n v="7"/>
    <n v="20"/>
    <n v="4"/>
    <n v="4"/>
    <n v="80"/>
    <n v="0"/>
    <n v="18"/>
    <n v="4"/>
    <n v="14"/>
    <n v="7"/>
    <n v="8"/>
    <n v="10"/>
  </r>
  <r>
    <x v="1"/>
    <s v="Travel_Rarely"/>
    <x v="2"/>
    <s v="Current Employees"/>
    <x v="1"/>
    <x v="0"/>
    <x v="503"/>
    <n v="683"/>
    <x v="1"/>
    <x v="1"/>
    <x v="1"/>
    <s v="No"/>
    <s v="Y"/>
    <n v="4"/>
    <n v="-2"/>
    <n v="0"/>
    <x v="13"/>
    <x v="1"/>
    <x v="1"/>
    <n v="0"/>
    <n v="1"/>
    <n v="1397"/>
    <n v="1"/>
    <x v="4"/>
    <x v="0"/>
    <n v="2"/>
    <n v="42"/>
    <n v="3"/>
    <n v="1"/>
    <n v="2"/>
    <x v="485"/>
    <n v="7660"/>
    <n v="1"/>
    <n v="12"/>
    <n v="3"/>
    <n v="4"/>
    <n v="80"/>
    <n v="1"/>
    <n v="10"/>
    <n v="2"/>
    <n v="10"/>
    <n v="9"/>
    <n v="8"/>
    <n v="8"/>
  </r>
  <r>
    <x v="0"/>
    <s v="Travel_Frequently"/>
    <x v="1"/>
    <s v="Ex-Employees"/>
    <x v="0"/>
    <x v="0"/>
    <x v="504"/>
    <n v="684"/>
    <x v="0"/>
    <x v="0"/>
    <x v="1"/>
    <s v="No"/>
    <s v="Y"/>
    <n v="4"/>
    <n v="-2"/>
    <n v="0"/>
    <x v="28"/>
    <x v="0"/>
    <x v="0"/>
    <n v="1"/>
    <n v="0"/>
    <n v="306"/>
    <n v="26"/>
    <x v="2"/>
    <x v="0"/>
    <n v="1"/>
    <n v="100"/>
    <n v="3"/>
    <n v="2"/>
    <n v="2"/>
    <x v="486"/>
    <n v="5630"/>
    <n v="2"/>
    <n v="14"/>
    <n v="3"/>
    <n v="4"/>
    <n v="80"/>
    <n v="2"/>
    <n v="5"/>
    <n v="3"/>
    <n v="1"/>
    <n v="1"/>
    <n v="0"/>
    <n v="0"/>
  </r>
  <r>
    <x v="1"/>
    <s v="Travel_Rarely"/>
    <x v="2"/>
    <s v="Current Employees"/>
    <x v="1"/>
    <x v="0"/>
    <x v="505"/>
    <n v="686"/>
    <x v="0"/>
    <x v="2"/>
    <x v="1"/>
    <s v="Yes"/>
    <s v="Y"/>
    <n v="2"/>
    <n v="-2"/>
    <n v="0"/>
    <x v="25"/>
    <x v="1"/>
    <x v="1"/>
    <n v="0"/>
    <n v="1"/>
    <n v="991"/>
    <n v="6"/>
    <x v="3"/>
    <x v="0"/>
    <n v="3"/>
    <n v="71"/>
    <n v="3"/>
    <n v="1"/>
    <n v="2"/>
    <x v="487"/>
    <n v="17759"/>
    <n v="1"/>
    <n v="13"/>
    <n v="3"/>
    <n v="3"/>
    <n v="80"/>
    <n v="1"/>
    <n v="3"/>
    <n v="3"/>
    <n v="3"/>
    <n v="2"/>
    <n v="0"/>
    <n v="2"/>
  </r>
  <r>
    <x v="1"/>
    <s v="Travel_Rarely"/>
    <x v="0"/>
    <s v="Current Employees"/>
    <x v="1"/>
    <x v="1"/>
    <x v="506"/>
    <n v="689"/>
    <x v="1"/>
    <x v="3"/>
    <x v="1"/>
    <s v="No"/>
    <s v="Y"/>
    <n v="2"/>
    <n v="-2"/>
    <n v="0"/>
    <x v="2"/>
    <x v="1"/>
    <x v="1"/>
    <n v="0"/>
    <n v="1"/>
    <n v="482"/>
    <n v="3"/>
    <x v="3"/>
    <x v="0"/>
    <n v="3"/>
    <n v="36"/>
    <n v="3"/>
    <n v="3"/>
    <n v="3"/>
    <x v="488"/>
    <n v="9606"/>
    <n v="1"/>
    <n v="15"/>
    <n v="3"/>
    <n v="3"/>
    <n v="80"/>
    <n v="1"/>
    <n v="10"/>
    <n v="3"/>
    <n v="10"/>
    <n v="7"/>
    <n v="7"/>
    <n v="8"/>
  </r>
  <r>
    <x v="1"/>
    <s v="Travel_Rarely"/>
    <x v="2"/>
    <s v="Current Employees"/>
    <x v="0"/>
    <x v="2"/>
    <x v="507"/>
    <n v="690"/>
    <x v="0"/>
    <x v="0"/>
    <x v="1"/>
    <s v="No"/>
    <s v="Y"/>
    <n v="5"/>
    <n v="-2"/>
    <n v="0"/>
    <x v="11"/>
    <x v="1"/>
    <x v="1"/>
    <n v="0"/>
    <n v="1"/>
    <n v="1176"/>
    <n v="3"/>
    <x v="0"/>
    <x v="0"/>
    <n v="2"/>
    <n v="62"/>
    <n v="3"/>
    <n v="2"/>
    <n v="3"/>
    <x v="489"/>
    <n v="3487"/>
    <n v="1"/>
    <n v="14"/>
    <n v="3"/>
    <n v="1"/>
    <n v="80"/>
    <n v="1"/>
    <n v="6"/>
    <n v="2"/>
    <n v="6"/>
    <n v="0"/>
    <n v="1"/>
    <n v="2"/>
  </r>
  <r>
    <x v="1"/>
    <s v="Travel_Rarely"/>
    <x v="0"/>
    <s v="Current Employees"/>
    <x v="1"/>
    <x v="0"/>
    <x v="508"/>
    <n v="691"/>
    <x v="1"/>
    <x v="1"/>
    <x v="0"/>
    <s v="No"/>
    <s v="Y"/>
    <n v="3"/>
    <n v="-2"/>
    <n v="0"/>
    <x v="10"/>
    <x v="1"/>
    <x v="1"/>
    <n v="0"/>
    <n v="1"/>
    <n v="1017"/>
    <n v="6"/>
    <x v="2"/>
    <x v="0"/>
    <n v="2"/>
    <n v="82"/>
    <n v="1"/>
    <n v="2"/>
    <n v="2"/>
    <x v="490"/>
    <n v="19368"/>
    <n v="1"/>
    <n v="13"/>
    <n v="3"/>
    <n v="2"/>
    <n v="80"/>
    <n v="0"/>
    <n v="17"/>
    <n v="3"/>
    <n v="17"/>
    <n v="11"/>
    <n v="11"/>
    <n v="8"/>
  </r>
  <r>
    <x v="1"/>
    <s v="Travel_Frequently"/>
    <x v="2"/>
    <s v="Current Employees"/>
    <x v="1"/>
    <x v="0"/>
    <x v="509"/>
    <n v="692"/>
    <x v="1"/>
    <x v="4"/>
    <x v="2"/>
    <s v="No"/>
    <s v="Y"/>
    <n v="2"/>
    <n v="-2"/>
    <n v="0"/>
    <x v="3"/>
    <x v="1"/>
    <x v="1"/>
    <n v="0"/>
    <n v="1"/>
    <n v="1296"/>
    <n v="6"/>
    <x v="3"/>
    <x v="0"/>
    <n v="3"/>
    <n v="30"/>
    <n v="3"/>
    <n v="2"/>
    <n v="2"/>
    <x v="491"/>
    <n v="5335"/>
    <n v="3"/>
    <n v="23"/>
    <n v="4"/>
    <n v="3"/>
    <n v="80"/>
    <n v="1"/>
    <n v="15"/>
    <n v="1"/>
    <n v="13"/>
    <n v="11"/>
    <n v="4"/>
    <n v="7"/>
  </r>
  <r>
    <x v="1"/>
    <s v="Travel_Rarely"/>
    <x v="1"/>
    <s v="Current Employees"/>
    <x v="2"/>
    <x v="2"/>
    <x v="510"/>
    <n v="698"/>
    <x v="1"/>
    <x v="8"/>
    <x v="1"/>
    <s v="No"/>
    <s v="Y"/>
    <n v="1"/>
    <n v="-2"/>
    <n v="0"/>
    <x v="33"/>
    <x v="1"/>
    <x v="1"/>
    <n v="0"/>
    <n v="1"/>
    <n v="397"/>
    <n v="19"/>
    <x v="2"/>
    <x v="0"/>
    <n v="3"/>
    <n v="88"/>
    <n v="3"/>
    <n v="3"/>
    <n v="3"/>
    <x v="492"/>
    <n v="6729"/>
    <n v="2"/>
    <n v="15"/>
    <n v="3"/>
    <n v="3"/>
    <n v="80"/>
    <n v="1"/>
    <n v="16"/>
    <n v="4"/>
    <n v="9"/>
    <n v="7"/>
    <n v="7"/>
    <n v="1"/>
  </r>
  <r>
    <x v="1"/>
    <s v="Travel_Rarely"/>
    <x v="0"/>
    <s v="Current Employees"/>
    <x v="1"/>
    <x v="2"/>
    <x v="511"/>
    <n v="699"/>
    <x v="1"/>
    <x v="3"/>
    <x v="2"/>
    <s v="Yes"/>
    <s v="Y"/>
    <n v="2"/>
    <n v="-2"/>
    <n v="0"/>
    <x v="9"/>
    <x v="1"/>
    <x v="1"/>
    <n v="0"/>
    <n v="1"/>
    <n v="913"/>
    <n v="9"/>
    <x v="0"/>
    <x v="0"/>
    <n v="2"/>
    <n v="48"/>
    <n v="2"/>
    <n v="2"/>
    <n v="3"/>
    <x v="493"/>
    <n v="13934"/>
    <n v="2"/>
    <n v="11"/>
    <n v="3"/>
    <n v="3"/>
    <n v="80"/>
    <n v="1"/>
    <n v="13"/>
    <n v="3"/>
    <n v="3"/>
    <n v="2"/>
    <n v="0"/>
    <n v="2"/>
  </r>
  <r>
    <x v="1"/>
    <s v="Travel_Rarely"/>
    <x v="2"/>
    <s v="Current Employees"/>
    <x v="1"/>
    <x v="2"/>
    <x v="512"/>
    <n v="700"/>
    <x v="1"/>
    <x v="1"/>
    <x v="0"/>
    <s v="No"/>
    <s v="Y"/>
    <n v="0"/>
    <n v="-2"/>
    <n v="0"/>
    <x v="4"/>
    <x v="1"/>
    <x v="1"/>
    <n v="0"/>
    <n v="1"/>
    <n v="1115"/>
    <n v="3"/>
    <x v="2"/>
    <x v="0"/>
    <n v="1"/>
    <n v="54"/>
    <n v="2"/>
    <n v="1"/>
    <n v="4"/>
    <x v="494"/>
    <n v="15174"/>
    <n v="0"/>
    <n v="13"/>
    <n v="3"/>
    <n v="4"/>
    <n v="80"/>
    <n v="0"/>
    <n v="5"/>
    <n v="3"/>
    <n v="4"/>
    <n v="2"/>
    <n v="1"/>
    <n v="1"/>
  </r>
  <r>
    <x v="0"/>
    <s v="Travel_Rarely"/>
    <x v="4"/>
    <s v="Ex-Employees"/>
    <x v="1"/>
    <x v="2"/>
    <x v="513"/>
    <n v="701"/>
    <x v="1"/>
    <x v="1"/>
    <x v="0"/>
    <s v="Yes"/>
    <s v="Y"/>
    <n v="5"/>
    <n v="-2"/>
    <n v="0"/>
    <x v="35"/>
    <x v="0"/>
    <x v="0"/>
    <n v="1"/>
    <n v="0"/>
    <n v="1362"/>
    <n v="10"/>
    <x v="1"/>
    <x v="0"/>
    <n v="4"/>
    <n v="32"/>
    <n v="3"/>
    <n v="1"/>
    <n v="3"/>
    <x v="495"/>
    <n v="26999"/>
    <n v="1"/>
    <n v="11"/>
    <n v="3"/>
    <n v="4"/>
    <n v="80"/>
    <n v="0"/>
    <n v="1"/>
    <n v="3"/>
    <n v="1"/>
    <n v="0"/>
    <n v="1"/>
    <n v="1"/>
  </r>
  <r>
    <x v="0"/>
    <s v="Travel_Frequently"/>
    <x v="2"/>
    <s v="Ex-Employees"/>
    <x v="1"/>
    <x v="0"/>
    <x v="514"/>
    <n v="702"/>
    <x v="1"/>
    <x v="1"/>
    <x v="0"/>
    <s v="Yes"/>
    <s v="Y"/>
    <n v="3"/>
    <n v="-2"/>
    <n v="0"/>
    <x v="3"/>
    <x v="0"/>
    <x v="0"/>
    <n v="1"/>
    <n v="0"/>
    <n v="1076"/>
    <n v="3"/>
    <x v="3"/>
    <x v="0"/>
    <n v="1"/>
    <n v="70"/>
    <n v="3"/>
    <n v="1"/>
    <n v="2"/>
    <x v="496"/>
    <n v="3164"/>
    <n v="1"/>
    <n v="11"/>
    <n v="3"/>
    <n v="1"/>
    <n v="80"/>
    <n v="0"/>
    <n v="10"/>
    <n v="3"/>
    <n v="10"/>
    <n v="8"/>
    <n v="9"/>
    <n v="7"/>
  </r>
  <r>
    <x v="1"/>
    <s v="Non-Travel"/>
    <x v="0"/>
    <s v="Current Employees"/>
    <x v="1"/>
    <x v="0"/>
    <x v="515"/>
    <n v="704"/>
    <x v="1"/>
    <x v="2"/>
    <x v="1"/>
    <s v="No"/>
    <s v="Y"/>
    <n v="3"/>
    <n v="-2"/>
    <n v="0"/>
    <x v="10"/>
    <x v="1"/>
    <x v="1"/>
    <n v="0"/>
    <n v="1"/>
    <n v="727"/>
    <n v="3"/>
    <x v="3"/>
    <x v="0"/>
    <n v="3"/>
    <n v="41"/>
    <n v="2"/>
    <n v="1"/>
    <n v="2"/>
    <x v="497"/>
    <n v="16900"/>
    <n v="1"/>
    <n v="18"/>
    <n v="3"/>
    <n v="3"/>
    <n v="80"/>
    <n v="2"/>
    <n v="1"/>
    <n v="3"/>
    <n v="1"/>
    <n v="0"/>
    <n v="0"/>
    <n v="0"/>
  </r>
  <r>
    <x v="1"/>
    <s v="Travel_Rarely"/>
    <x v="4"/>
    <s v="Current Employees"/>
    <x v="1"/>
    <x v="2"/>
    <x v="516"/>
    <n v="705"/>
    <x v="1"/>
    <x v="1"/>
    <x v="1"/>
    <s v="No"/>
    <s v="Y"/>
    <n v="3"/>
    <n v="-2"/>
    <n v="0"/>
    <x v="30"/>
    <x v="1"/>
    <x v="1"/>
    <n v="0"/>
    <n v="1"/>
    <n v="885"/>
    <n v="4"/>
    <x v="3"/>
    <x v="0"/>
    <n v="1"/>
    <n v="58"/>
    <n v="4"/>
    <n v="1"/>
    <n v="3"/>
    <x v="498"/>
    <n v="8544"/>
    <n v="2"/>
    <n v="16"/>
    <n v="3"/>
    <n v="1"/>
    <n v="80"/>
    <n v="1"/>
    <n v="5"/>
    <n v="4"/>
    <n v="3"/>
    <n v="2"/>
    <n v="0"/>
    <n v="2"/>
  </r>
  <r>
    <x v="1"/>
    <s v="Travel_Rarely"/>
    <x v="2"/>
    <s v="Current Employees"/>
    <x v="0"/>
    <x v="0"/>
    <x v="517"/>
    <n v="707"/>
    <x v="1"/>
    <x v="0"/>
    <x v="1"/>
    <s v="No"/>
    <s v="Y"/>
    <n v="4"/>
    <n v="-2"/>
    <n v="0"/>
    <x v="36"/>
    <x v="1"/>
    <x v="1"/>
    <n v="0"/>
    <n v="1"/>
    <n v="810"/>
    <n v="8"/>
    <x v="3"/>
    <x v="0"/>
    <n v="4"/>
    <n v="57"/>
    <n v="4"/>
    <n v="2"/>
    <n v="2"/>
    <x v="499"/>
    <n v="15678"/>
    <n v="0"/>
    <n v="22"/>
    <n v="4"/>
    <n v="3"/>
    <n v="80"/>
    <n v="1"/>
    <n v="4"/>
    <n v="3"/>
    <n v="3"/>
    <n v="2"/>
    <n v="1"/>
    <n v="2"/>
  </r>
  <r>
    <x v="1"/>
    <s v="Travel_Rarely"/>
    <x v="0"/>
    <s v="Current Employees"/>
    <x v="0"/>
    <x v="3"/>
    <x v="518"/>
    <n v="709"/>
    <x v="0"/>
    <x v="0"/>
    <x v="0"/>
    <s v="No"/>
    <s v="Y"/>
    <n v="2"/>
    <n v="-2"/>
    <n v="0"/>
    <x v="8"/>
    <x v="1"/>
    <x v="1"/>
    <n v="0"/>
    <n v="1"/>
    <n v="243"/>
    <n v="7"/>
    <x v="2"/>
    <x v="0"/>
    <n v="4"/>
    <n v="46"/>
    <n v="2"/>
    <n v="2"/>
    <n v="1"/>
    <x v="500"/>
    <n v="7791"/>
    <n v="0"/>
    <n v="20"/>
    <n v="4"/>
    <n v="1"/>
    <n v="80"/>
    <n v="0"/>
    <n v="8"/>
    <n v="3"/>
    <n v="7"/>
    <n v="7"/>
    <n v="0"/>
    <n v="5"/>
  </r>
  <r>
    <x v="1"/>
    <s v="Travel_Frequently"/>
    <x v="2"/>
    <s v="Current Employees"/>
    <x v="1"/>
    <x v="0"/>
    <x v="519"/>
    <n v="710"/>
    <x v="1"/>
    <x v="1"/>
    <x v="2"/>
    <s v="No"/>
    <s v="Y"/>
    <n v="5"/>
    <n v="-2"/>
    <n v="0"/>
    <x v="11"/>
    <x v="1"/>
    <x v="1"/>
    <n v="0"/>
    <n v="1"/>
    <n v="806"/>
    <n v="1"/>
    <x v="2"/>
    <x v="0"/>
    <n v="2"/>
    <n v="76"/>
    <n v="1"/>
    <n v="1"/>
    <n v="4"/>
    <x v="143"/>
    <n v="18959"/>
    <n v="1"/>
    <n v="18"/>
    <n v="3"/>
    <n v="4"/>
    <n v="80"/>
    <n v="1"/>
    <n v="10"/>
    <n v="3"/>
    <n v="10"/>
    <n v="7"/>
    <n v="2"/>
    <n v="8"/>
  </r>
  <r>
    <x v="1"/>
    <s v="Travel_Rarely"/>
    <x v="1"/>
    <s v="Current Employees"/>
    <x v="0"/>
    <x v="3"/>
    <x v="520"/>
    <n v="712"/>
    <x v="1"/>
    <x v="0"/>
    <x v="1"/>
    <s v="No"/>
    <s v="Y"/>
    <n v="3"/>
    <n v="-2"/>
    <n v="0"/>
    <x v="26"/>
    <x v="1"/>
    <x v="1"/>
    <n v="0"/>
    <n v="1"/>
    <n v="817"/>
    <n v="2"/>
    <x v="1"/>
    <x v="0"/>
    <n v="2"/>
    <n v="56"/>
    <n v="4"/>
    <n v="2"/>
    <n v="1"/>
    <x v="501"/>
    <n v="18597"/>
    <n v="3"/>
    <n v="12"/>
    <n v="3"/>
    <n v="4"/>
    <n v="80"/>
    <n v="0"/>
    <n v="12"/>
    <n v="3"/>
    <n v="2"/>
    <n v="2"/>
    <n v="2"/>
    <n v="2"/>
  </r>
  <r>
    <x v="1"/>
    <s v="Travel_Frequently"/>
    <x v="2"/>
    <s v="Current Employees"/>
    <x v="0"/>
    <x v="2"/>
    <x v="521"/>
    <n v="714"/>
    <x v="0"/>
    <x v="0"/>
    <x v="2"/>
    <s v="Yes"/>
    <s v="Y"/>
    <n v="3"/>
    <n v="-2"/>
    <n v="0"/>
    <x v="4"/>
    <x v="1"/>
    <x v="1"/>
    <n v="0"/>
    <n v="1"/>
    <n v="1410"/>
    <n v="3"/>
    <x v="1"/>
    <x v="0"/>
    <n v="4"/>
    <n v="71"/>
    <n v="4"/>
    <n v="2"/>
    <n v="4"/>
    <x v="502"/>
    <n v="16673"/>
    <n v="1"/>
    <n v="20"/>
    <n v="4"/>
    <n v="2"/>
    <n v="80"/>
    <n v="2"/>
    <n v="6"/>
    <n v="3"/>
    <n v="6"/>
    <n v="5"/>
    <n v="0"/>
    <n v="4"/>
  </r>
  <r>
    <x v="1"/>
    <s v="Travel_Rarely"/>
    <x v="0"/>
    <s v="Current Employees"/>
    <x v="1"/>
    <x v="0"/>
    <x v="522"/>
    <n v="715"/>
    <x v="1"/>
    <x v="1"/>
    <x v="0"/>
    <s v="No"/>
    <s v="Y"/>
    <n v="2"/>
    <n v="-2"/>
    <n v="0"/>
    <x v="2"/>
    <x v="1"/>
    <x v="1"/>
    <n v="0"/>
    <n v="1"/>
    <n v="1225"/>
    <n v="10"/>
    <x v="0"/>
    <x v="0"/>
    <n v="4"/>
    <n v="80"/>
    <n v="4"/>
    <n v="1"/>
    <n v="4"/>
    <x v="503"/>
    <n v="15232"/>
    <n v="3"/>
    <n v="17"/>
    <n v="3"/>
    <n v="1"/>
    <n v="80"/>
    <n v="0"/>
    <n v="4"/>
    <n v="3"/>
    <n v="1"/>
    <n v="0"/>
    <n v="0"/>
    <n v="0"/>
  </r>
  <r>
    <x v="1"/>
    <s v="Travel_Rarely"/>
    <x v="1"/>
    <s v="Current Employees"/>
    <x v="1"/>
    <x v="2"/>
    <x v="523"/>
    <n v="716"/>
    <x v="1"/>
    <x v="2"/>
    <x v="1"/>
    <s v="Yes"/>
    <s v="Y"/>
    <n v="3"/>
    <n v="-2"/>
    <n v="0"/>
    <x v="24"/>
    <x v="1"/>
    <x v="1"/>
    <n v="0"/>
    <n v="1"/>
    <n v="1207"/>
    <n v="28"/>
    <x v="1"/>
    <x v="0"/>
    <n v="4"/>
    <n v="74"/>
    <n v="4"/>
    <n v="1"/>
    <n v="3"/>
    <x v="504"/>
    <n v="3297"/>
    <n v="1"/>
    <n v="11"/>
    <n v="3"/>
    <n v="3"/>
    <n v="80"/>
    <n v="3"/>
    <n v="20"/>
    <n v="3"/>
    <n v="20"/>
    <n v="8"/>
    <n v="3"/>
    <n v="8"/>
  </r>
  <r>
    <x v="1"/>
    <s v="Travel_Rarely"/>
    <x v="2"/>
    <s v="Current Employees"/>
    <x v="1"/>
    <x v="2"/>
    <x v="524"/>
    <n v="717"/>
    <x v="0"/>
    <x v="4"/>
    <x v="0"/>
    <s v="No"/>
    <s v="Y"/>
    <n v="3"/>
    <n v="-2"/>
    <n v="0"/>
    <x v="13"/>
    <x v="1"/>
    <x v="1"/>
    <n v="0"/>
    <n v="1"/>
    <n v="1442"/>
    <n v="9"/>
    <x v="3"/>
    <x v="0"/>
    <n v="4"/>
    <n v="46"/>
    <n v="2"/>
    <n v="3"/>
    <n v="3"/>
    <x v="505"/>
    <n v="17654"/>
    <n v="1"/>
    <n v="14"/>
    <n v="3"/>
    <n v="2"/>
    <n v="80"/>
    <n v="0"/>
    <n v="9"/>
    <n v="4"/>
    <n v="8"/>
    <n v="7"/>
    <n v="7"/>
    <n v="7"/>
  </r>
  <r>
    <x v="0"/>
    <s v="Travel_Rarely"/>
    <x v="4"/>
    <s v="Ex-Employees"/>
    <x v="0"/>
    <x v="0"/>
    <x v="525"/>
    <n v="720"/>
    <x v="0"/>
    <x v="0"/>
    <x v="0"/>
    <s v="No"/>
    <s v="Y"/>
    <n v="3"/>
    <n v="-2"/>
    <n v="0"/>
    <x v="17"/>
    <x v="0"/>
    <x v="0"/>
    <n v="1"/>
    <n v="0"/>
    <n v="693"/>
    <n v="3"/>
    <x v="0"/>
    <x v="0"/>
    <n v="1"/>
    <n v="65"/>
    <n v="3"/>
    <n v="2"/>
    <n v="3"/>
    <x v="506"/>
    <n v="24785"/>
    <n v="9"/>
    <n v="14"/>
    <n v="3"/>
    <n v="1"/>
    <n v="80"/>
    <n v="0"/>
    <n v="4"/>
    <n v="3"/>
    <n v="2"/>
    <n v="2"/>
    <n v="2"/>
    <n v="0"/>
  </r>
  <r>
    <x v="1"/>
    <s v="Travel_Rarely"/>
    <x v="0"/>
    <s v="Current Employees"/>
    <x v="1"/>
    <x v="4"/>
    <x v="526"/>
    <n v="721"/>
    <x v="0"/>
    <x v="4"/>
    <x v="0"/>
    <s v="No"/>
    <s v="Y"/>
    <n v="4"/>
    <n v="-2"/>
    <n v="0"/>
    <x v="22"/>
    <x v="1"/>
    <x v="1"/>
    <n v="0"/>
    <n v="1"/>
    <n v="408"/>
    <n v="2"/>
    <x v="2"/>
    <x v="0"/>
    <n v="4"/>
    <n v="80"/>
    <n v="2"/>
    <n v="2"/>
    <n v="4"/>
    <x v="507"/>
    <n v="20978"/>
    <n v="1"/>
    <n v="11"/>
    <n v="3"/>
    <n v="1"/>
    <n v="80"/>
    <n v="0"/>
    <n v="20"/>
    <n v="3"/>
    <n v="20"/>
    <n v="7"/>
    <n v="11"/>
    <n v="10"/>
  </r>
  <r>
    <x v="1"/>
    <s v="Travel_Rarely"/>
    <x v="2"/>
    <s v="Current Employees"/>
    <x v="0"/>
    <x v="3"/>
    <x v="527"/>
    <n v="722"/>
    <x v="1"/>
    <x v="0"/>
    <x v="0"/>
    <s v="No"/>
    <s v="Y"/>
    <n v="2"/>
    <n v="-2"/>
    <n v="0"/>
    <x v="5"/>
    <x v="1"/>
    <x v="1"/>
    <n v="0"/>
    <n v="1"/>
    <n v="929"/>
    <n v="10"/>
    <x v="3"/>
    <x v="0"/>
    <n v="4"/>
    <n v="55"/>
    <n v="3"/>
    <n v="2"/>
    <n v="1"/>
    <x v="508"/>
    <n v="21703"/>
    <n v="1"/>
    <n v="12"/>
    <n v="3"/>
    <n v="4"/>
    <n v="80"/>
    <n v="0"/>
    <n v="10"/>
    <n v="2"/>
    <n v="10"/>
    <n v="7"/>
    <n v="0"/>
    <n v="8"/>
  </r>
  <r>
    <x v="0"/>
    <s v="Travel_Frequently"/>
    <x v="1"/>
    <s v="Ex-Employees"/>
    <x v="0"/>
    <x v="4"/>
    <x v="528"/>
    <n v="723"/>
    <x v="1"/>
    <x v="0"/>
    <x v="1"/>
    <s v="Yes"/>
    <s v="Y"/>
    <n v="4"/>
    <n v="-2"/>
    <n v="0"/>
    <x v="24"/>
    <x v="0"/>
    <x v="0"/>
    <n v="1"/>
    <n v="0"/>
    <n v="562"/>
    <n v="8"/>
    <x v="0"/>
    <x v="0"/>
    <n v="4"/>
    <n v="50"/>
    <n v="3"/>
    <n v="2"/>
    <n v="4"/>
    <x v="509"/>
    <n v="23452"/>
    <n v="3"/>
    <n v="14"/>
    <n v="3"/>
    <n v="1"/>
    <n v="80"/>
    <n v="1"/>
    <n v="18"/>
    <n v="3"/>
    <n v="4"/>
    <n v="3"/>
    <n v="1"/>
    <n v="3"/>
  </r>
  <r>
    <x v="1"/>
    <s v="Travel_Rarely"/>
    <x v="0"/>
    <s v="Current Employees"/>
    <x v="1"/>
    <x v="0"/>
    <x v="529"/>
    <n v="724"/>
    <x v="0"/>
    <x v="4"/>
    <x v="0"/>
    <s v="No"/>
    <s v="Y"/>
    <n v="4"/>
    <n v="-2"/>
    <n v="0"/>
    <x v="8"/>
    <x v="1"/>
    <x v="1"/>
    <n v="0"/>
    <n v="1"/>
    <n v="827"/>
    <n v="1"/>
    <x v="2"/>
    <x v="0"/>
    <n v="2"/>
    <n v="33"/>
    <n v="4"/>
    <n v="2"/>
    <n v="4"/>
    <x v="510"/>
    <n v="19383"/>
    <n v="0"/>
    <n v="13"/>
    <n v="3"/>
    <n v="3"/>
    <n v="80"/>
    <n v="0"/>
    <n v="10"/>
    <n v="2"/>
    <n v="9"/>
    <n v="7"/>
    <n v="1"/>
    <n v="8"/>
  </r>
  <r>
    <x v="1"/>
    <s v="Travel_Rarely"/>
    <x v="2"/>
    <s v="Current Employees"/>
    <x v="1"/>
    <x v="0"/>
    <x v="530"/>
    <n v="725"/>
    <x v="0"/>
    <x v="3"/>
    <x v="1"/>
    <s v="No"/>
    <s v="Y"/>
    <n v="3"/>
    <n v="-2"/>
    <n v="0"/>
    <x v="4"/>
    <x v="1"/>
    <x v="1"/>
    <n v="0"/>
    <n v="1"/>
    <n v="608"/>
    <n v="1"/>
    <x v="0"/>
    <x v="0"/>
    <n v="3"/>
    <n v="68"/>
    <n v="3"/>
    <n v="3"/>
    <n v="3"/>
    <x v="511"/>
    <n v="6009"/>
    <n v="1"/>
    <n v="11"/>
    <n v="3"/>
    <n v="4"/>
    <n v="80"/>
    <n v="0"/>
    <n v="9"/>
    <n v="3"/>
    <n v="9"/>
    <n v="7"/>
    <n v="0"/>
    <n v="7"/>
  </r>
  <r>
    <x v="1"/>
    <s v="Travel_Rarely"/>
    <x v="2"/>
    <s v="Current Employees"/>
    <x v="1"/>
    <x v="0"/>
    <x v="531"/>
    <n v="727"/>
    <x v="0"/>
    <x v="7"/>
    <x v="0"/>
    <s v="No"/>
    <s v="Y"/>
    <n v="6"/>
    <n v="-2"/>
    <n v="0"/>
    <x v="5"/>
    <x v="1"/>
    <x v="1"/>
    <n v="0"/>
    <n v="1"/>
    <n v="1018"/>
    <n v="3"/>
    <x v="0"/>
    <x v="0"/>
    <n v="3"/>
    <n v="39"/>
    <n v="3"/>
    <n v="3"/>
    <n v="4"/>
    <x v="512"/>
    <n v="19373"/>
    <n v="3"/>
    <n v="15"/>
    <n v="3"/>
    <n v="4"/>
    <n v="80"/>
    <n v="0"/>
    <n v="10"/>
    <n v="3"/>
    <n v="7"/>
    <n v="7"/>
    <n v="7"/>
    <n v="7"/>
  </r>
  <r>
    <x v="1"/>
    <s v="Travel_Rarely"/>
    <x v="1"/>
    <s v="Current Employees"/>
    <x v="0"/>
    <x v="3"/>
    <x v="532"/>
    <n v="728"/>
    <x v="1"/>
    <x v="0"/>
    <x v="0"/>
    <s v="No"/>
    <s v="Y"/>
    <n v="2"/>
    <n v="-2"/>
    <n v="0"/>
    <x v="40"/>
    <x v="1"/>
    <x v="1"/>
    <n v="0"/>
    <n v="1"/>
    <n v="703"/>
    <n v="14"/>
    <x v="2"/>
    <x v="0"/>
    <n v="4"/>
    <n v="42"/>
    <n v="3"/>
    <n v="2"/>
    <n v="1"/>
    <x v="513"/>
    <n v="11825"/>
    <n v="2"/>
    <n v="12"/>
    <n v="3"/>
    <n v="4"/>
    <n v="80"/>
    <n v="0"/>
    <n v="20"/>
    <n v="3"/>
    <n v="7"/>
    <n v="7"/>
    <n v="1"/>
    <n v="7"/>
  </r>
  <r>
    <x v="1"/>
    <s v="Travel_Frequently"/>
    <x v="0"/>
    <s v="Current Employees"/>
    <x v="0"/>
    <x v="0"/>
    <x v="533"/>
    <n v="729"/>
    <x v="1"/>
    <x v="0"/>
    <x v="1"/>
    <s v="Yes"/>
    <s v="Y"/>
    <n v="2"/>
    <n v="-2"/>
    <n v="0"/>
    <x v="32"/>
    <x v="1"/>
    <x v="1"/>
    <n v="0"/>
    <n v="1"/>
    <n v="580"/>
    <n v="5"/>
    <x v="2"/>
    <x v="0"/>
    <n v="4"/>
    <n v="48"/>
    <n v="2"/>
    <n v="3"/>
    <n v="3"/>
    <x v="514"/>
    <n v="23772"/>
    <n v="5"/>
    <n v="21"/>
    <n v="4"/>
    <n v="3"/>
    <n v="80"/>
    <n v="1"/>
    <n v="20"/>
    <n v="3"/>
    <n v="18"/>
    <n v="13"/>
    <n v="1"/>
    <n v="12"/>
  </r>
  <r>
    <x v="1"/>
    <s v="Travel_Rarely"/>
    <x v="1"/>
    <s v="Current Employees"/>
    <x v="1"/>
    <x v="0"/>
    <x v="534"/>
    <n v="730"/>
    <x v="1"/>
    <x v="7"/>
    <x v="1"/>
    <s v="No"/>
    <s v="Y"/>
    <n v="3"/>
    <n v="-2"/>
    <n v="0"/>
    <x v="16"/>
    <x v="1"/>
    <x v="1"/>
    <n v="0"/>
    <n v="1"/>
    <n v="970"/>
    <n v="7"/>
    <x v="3"/>
    <x v="0"/>
    <n v="3"/>
    <n v="59"/>
    <n v="4"/>
    <n v="4"/>
    <n v="3"/>
    <x v="515"/>
    <n v="13514"/>
    <n v="3"/>
    <n v="19"/>
    <n v="3"/>
    <n v="3"/>
    <n v="80"/>
    <n v="0"/>
    <n v="32"/>
    <n v="3"/>
    <n v="5"/>
    <n v="1"/>
    <n v="1"/>
    <n v="3"/>
  </r>
  <r>
    <x v="1"/>
    <s v="Travel_Rarely"/>
    <x v="0"/>
    <s v="Current Employees"/>
    <x v="2"/>
    <x v="5"/>
    <x v="535"/>
    <n v="731"/>
    <x v="1"/>
    <x v="5"/>
    <x v="2"/>
    <s v="No"/>
    <s v="Y"/>
    <n v="2"/>
    <n v="-2"/>
    <n v="0"/>
    <x v="0"/>
    <x v="1"/>
    <x v="1"/>
    <n v="0"/>
    <n v="1"/>
    <n v="427"/>
    <n v="10"/>
    <x v="2"/>
    <x v="0"/>
    <n v="2"/>
    <n v="73"/>
    <n v="2"/>
    <n v="5"/>
    <n v="4"/>
    <x v="516"/>
    <n v="8861"/>
    <n v="3"/>
    <n v="15"/>
    <n v="3"/>
    <n v="2"/>
    <n v="80"/>
    <n v="3"/>
    <n v="23"/>
    <n v="2"/>
    <n v="21"/>
    <n v="6"/>
    <n v="12"/>
    <n v="6"/>
  </r>
  <r>
    <x v="1"/>
    <s v="Travel_Rarely"/>
    <x v="3"/>
    <s v="Current Employees"/>
    <x v="0"/>
    <x v="3"/>
    <x v="536"/>
    <n v="732"/>
    <x v="1"/>
    <x v="0"/>
    <x v="0"/>
    <s v="No"/>
    <s v="Y"/>
    <n v="1"/>
    <n v="-2"/>
    <n v="0"/>
    <x v="42"/>
    <x v="1"/>
    <x v="1"/>
    <n v="0"/>
    <n v="1"/>
    <n v="1179"/>
    <n v="16"/>
    <x v="2"/>
    <x v="0"/>
    <n v="1"/>
    <n v="84"/>
    <n v="3"/>
    <n v="2"/>
    <n v="1"/>
    <x v="517"/>
    <n v="11924"/>
    <n v="8"/>
    <n v="14"/>
    <n v="3"/>
    <n v="4"/>
    <n v="80"/>
    <n v="0"/>
    <n v="10"/>
    <n v="3"/>
    <n v="2"/>
    <n v="2"/>
    <n v="2"/>
    <n v="2"/>
  </r>
  <r>
    <x v="1"/>
    <s v="Travel_Frequently"/>
    <x v="2"/>
    <s v="Current Employees"/>
    <x v="1"/>
    <x v="0"/>
    <x v="537"/>
    <n v="733"/>
    <x v="1"/>
    <x v="3"/>
    <x v="2"/>
    <s v="No"/>
    <s v="Y"/>
    <n v="4"/>
    <n v="-2"/>
    <n v="0"/>
    <x v="4"/>
    <x v="1"/>
    <x v="1"/>
    <n v="0"/>
    <n v="1"/>
    <n v="294"/>
    <n v="10"/>
    <x v="0"/>
    <x v="0"/>
    <n v="4"/>
    <n v="32"/>
    <n v="3"/>
    <n v="3"/>
    <n v="3"/>
    <x v="518"/>
    <n v="4809"/>
    <n v="1"/>
    <n v="21"/>
    <n v="4"/>
    <n v="3"/>
    <n v="80"/>
    <n v="2"/>
    <n v="9"/>
    <n v="2"/>
    <n v="9"/>
    <n v="7"/>
    <n v="1"/>
    <n v="7"/>
  </r>
  <r>
    <x v="1"/>
    <s v="Travel_Rarely"/>
    <x v="0"/>
    <s v="Current Employees"/>
    <x v="2"/>
    <x v="5"/>
    <x v="538"/>
    <n v="734"/>
    <x v="1"/>
    <x v="5"/>
    <x v="1"/>
    <s v="No"/>
    <s v="Y"/>
    <n v="3"/>
    <n v="-2"/>
    <n v="0"/>
    <x v="0"/>
    <x v="1"/>
    <x v="1"/>
    <n v="0"/>
    <n v="1"/>
    <n v="314"/>
    <n v="1"/>
    <x v="3"/>
    <x v="0"/>
    <n v="4"/>
    <n v="59"/>
    <n v="2"/>
    <n v="5"/>
    <n v="3"/>
    <x v="519"/>
    <n v="19562"/>
    <n v="1"/>
    <n v="12"/>
    <n v="3"/>
    <n v="2"/>
    <n v="80"/>
    <n v="1"/>
    <n v="22"/>
    <n v="3"/>
    <n v="22"/>
    <n v="7"/>
    <n v="2"/>
    <n v="10"/>
  </r>
  <r>
    <x v="1"/>
    <s v="Travel_Rarely"/>
    <x v="1"/>
    <s v="Current Employees"/>
    <x v="0"/>
    <x v="3"/>
    <x v="539"/>
    <n v="738"/>
    <x v="1"/>
    <x v="6"/>
    <x v="1"/>
    <s v="No"/>
    <s v="Y"/>
    <n v="2"/>
    <n v="-2"/>
    <n v="0"/>
    <x v="24"/>
    <x v="1"/>
    <x v="1"/>
    <n v="0"/>
    <n v="1"/>
    <n v="316"/>
    <n v="8"/>
    <x v="2"/>
    <x v="0"/>
    <n v="4"/>
    <n v="54"/>
    <n v="3"/>
    <n v="1"/>
    <n v="1"/>
    <x v="520"/>
    <n v="9983"/>
    <n v="7"/>
    <n v="15"/>
    <n v="3"/>
    <n v="4"/>
    <n v="80"/>
    <n v="1"/>
    <n v="4"/>
    <n v="3"/>
    <n v="2"/>
    <n v="2"/>
    <n v="2"/>
    <n v="2"/>
  </r>
  <r>
    <x v="0"/>
    <s v="Travel_Rarely"/>
    <x v="2"/>
    <s v="Ex-Employees"/>
    <x v="1"/>
    <x v="0"/>
    <x v="540"/>
    <n v="741"/>
    <x v="0"/>
    <x v="1"/>
    <x v="0"/>
    <s v="Yes"/>
    <s v="Y"/>
    <n v="4"/>
    <n v="-2"/>
    <n v="0"/>
    <x v="14"/>
    <x v="0"/>
    <x v="0"/>
    <n v="1"/>
    <n v="0"/>
    <n v="654"/>
    <n v="1"/>
    <x v="0"/>
    <x v="0"/>
    <n v="1"/>
    <n v="67"/>
    <n v="1"/>
    <n v="1"/>
    <n v="3"/>
    <x v="521"/>
    <n v="3872"/>
    <n v="7"/>
    <n v="13"/>
    <n v="3"/>
    <n v="4"/>
    <n v="80"/>
    <n v="0"/>
    <n v="10"/>
    <n v="3"/>
    <n v="7"/>
    <n v="7"/>
    <n v="3"/>
    <n v="7"/>
  </r>
  <r>
    <x v="1"/>
    <s v="Non-Travel"/>
    <x v="0"/>
    <s v="Current Employees"/>
    <x v="1"/>
    <x v="0"/>
    <x v="541"/>
    <n v="742"/>
    <x v="0"/>
    <x v="7"/>
    <x v="1"/>
    <s v="No"/>
    <s v="Y"/>
    <n v="2"/>
    <n v="-2"/>
    <n v="0"/>
    <x v="9"/>
    <x v="1"/>
    <x v="1"/>
    <n v="0"/>
    <n v="1"/>
    <n v="427"/>
    <n v="8"/>
    <x v="3"/>
    <x v="0"/>
    <n v="1"/>
    <n v="63"/>
    <n v="4"/>
    <n v="3"/>
    <n v="3"/>
    <x v="522"/>
    <n v="20335"/>
    <n v="9"/>
    <n v="14"/>
    <n v="3"/>
    <n v="1"/>
    <n v="80"/>
    <n v="1"/>
    <n v="10"/>
    <n v="3"/>
    <n v="8"/>
    <n v="7"/>
    <n v="0"/>
    <n v="5"/>
  </r>
  <r>
    <x v="1"/>
    <s v="Travel_Rarely"/>
    <x v="0"/>
    <s v="Current Employees"/>
    <x v="1"/>
    <x v="0"/>
    <x v="542"/>
    <n v="743"/>
    <x v="0"/>
    <x v="3"/>
    <x v="0"/>
    <s v="Yes"/>
    <s v="Y"/>
    <n v="4"/>
    <n v="-2"/>
    <n v="0"/>
    <x v="8"/>
    <x v="1"/>
    <x v="1"/>
    <n v="0"/>
    <n v="1"/>
    <n v="168"/>
    <n v="1"/>
    <x v="3"/>
    <x v="0"/>
    <n v="3"/>
    <n v="81"/>
    <n v="3"/>
    <n v="3"/>
    <n v="3"/>
    <x v="523"/>
    <n v="15397"/>
    <n v="4"/>
    <n v="14"/>
    <n v="3"/>
    <n v="4"/>
    <n v="80"/>
    <n v="0"/>
    <n v="10"/>
    <n v="4"/>
    <n v="1"/>
    <n v="0"/>
    <n v="0"/>
    <n v="0"/>
  </r>
  <r>
    <x v="1"/>
    <s v="Non-Travel"/>
    <x v="0"/>
    <s v="Current Employees"/>
    <x v="1"/>
    <x v="2"/>
    <x v="543"/>
    <n v="744"/>
    <x v="1"/>
    <x v="2"/>
    <x v="0"/>
    <s v="No"/>
    <s v="Y"/>
    <n v="5"/>
    <n v="-2"/>
    <n v="0"/>
    <x v="20"/>
    <x v="1"/>
    <x v="1"/>
    <n v="0"/>
    <n v="1"/>
    <n v="381"/>
    <n v="24"/>
    <x v="3"/>
    <x v="0"/>
    <n v="1"/>
    <n v="49"/>
    <n v="1"/>
    <n v="1"/>
    <n v="3"/>
    <x v="524"/>
    <n v="2104"/>
    <n v="2"/>
    <n v="14"/>
    <n v="3"/>
    <n v="3"/>
    <n v="80"/>
    <n v="0"/>
    <n v="9"/>
    <n v="3"/>
    <n v="5"/>
    <n v="2"/>
    <n v="1"/>
    <n v="4"/>
  </r>
  <r>
    <x v="1"/>
    <s v="Travel_Frequently"/>
    <x v="1"/>
    <s v="Current Employees"/>
    <x v="0"/>
    <x v="2"/>
    <x v="544"/>
    <n v="746"/>
    <x v="0"/>
    <x v="0"/>
    <x v="2"/>
    <s v="Yes"/>
    <s v="Y"/>
    <n v="2"/>
    <n v="-2"/>
    <n v="0"/>
    <x v="40"/>
    <x v="1"/>
    <x v="1"/>
    <n v="0"/>
    <n v="1"/>
    <n v="217"/>
    <n v="3"/>
    <x v="3"/>
    <x v="0"/>
    <n v="4"/>
    <n v="49"/>
    <n v="3"/>
    <n v="4"/>
    <n v="3"/>
    <x v="525"/>
    <n v="10225"/>
    <n v="9"/>
    <n v="12"/>
    <n v="3"/>
    <n v="4"/>
    <n v="80"/>
    <n v="2"/>
    <n v="28"/>
    <n v="2"/>
    <n v="22"/>
    <n v="2"/>
    <n v="11"/>
    <n v="13"/>
  </r>
  <r>
    <x v="1"/>
    <s v="Travel_Rarely"/>
    <x v="2"/>
    <s v="Current Employees"/>
    <x v="0"/>
    <x v="3"/>
    <x v="545"/>
    <n v="747"/>
    <x v="1"/>
    <x v="0"/>
    <x v="2"/>
    <s v="No"/>
    <s v="Y"/>
    <n v="2"/>
    <n v="-2"/>
    <n v="0"/>
    <x v="7"/>
    <x v="1"/>
    <x v="1"/>
    <n v="0"/>
    <n v="1"/>
    <n v="501"/>
    <n v="27"/>
    <x v="4"/>
    <x v="0"/>
    <n v="3"/>
    <n v="99"/>
    <n v="3"/>
    <n v="2"/>
    <n v="1"/>
    <x v="367"/>
    <n v="25275"/>
    <n v="7"/>
    <n v="23"/>
    <n v="4"/>
    <n v="4"/>
    <n v="80"/>
    <n v="1"/>
    <n v="10"/>
    <n v="2"/>
    <n v="8"/>
    <n v="7"/>
    <n v="7"/>
    <n v="7"/>
  </r>
  <r>
    <x v="1"/>
    <s v="Travel_Rarely"/>
    <x v="2"/>
    <s v="Current Employees"/>
    <x v="0"/>
    <x v="0"/>
    <x v="546"/>
    <n v="749"/>
    <x v="1"/>
    <x v="6"/>
    <x v="0"/>
    <s v="No"/>
    <s v="Y"/>
    <n v="6"/>
    <n v="-2"/>
    <n v="0"/>
    <x v="11"/>
    <x v="1"/>
    <x v="1"/>
    <n v="0"/>
    <n v="1"/>
    <n v="1396"/>
    <n v="10"/>
    <x v="3"/>
    <x v="0"/>
    <n v="3"/>
    <n v="99"/>
    <n v="3"/>
    <n v="1"/>
    <n v="3"/>
    <x v="526"/>
    <n v="2755"/>
    <n v="1"/>
    <n v="11"/>
    <n v="3"/>
    <n v="3"/>
    <n v="80"/>
    <n v="0"/>
    <n v="1"/>
    <n v="3"/>
    <n v="1"/>
    <n v="0"/>
    <n v="0"/>
    <n v="0"/>
  </r>
  <r>
    <x v="0"/>
    <s v="Travel_Frequently"/>
    <x v="0"/>
    <s v="Ex-Employees"/>
    <x v="1"/>
    <x v="2"/>
    <x v="547"/>
    <n v="752"/>
    <x v="1"/>
    <x v="1"/>
    <x v="2"/>
    <s v="Yes"/>
    <s v="Y"/>
    <n v="2"/>
    <n v="-2"/>
    <n v="0"/>
    <x v="19"/>
    <x v="0"/>
    <x v="0"/>
    <n v="1"/>
    <n v="0"/>
    <n v="933"/>
    <n v="19"/>
    <x v="3"/>
    <x v="0"/>
    <n v="3"/>
    <n v="57"/>
    <n v="4"/>
    <n v="1"/>
    <n v="3"/>
    <x v="527"/>
    <n v="20366"/>
    <n v="6"/>
    <n v="12"/>
    <n v="3"/>
    <n v="4"/>
    <n v="80"/>
    <n v="0"/>
    <n v="7"/>
    <n v="3"/>
    <n v="2"/>
    <n v="2"/>
    <n v="2"/>
    <n v="2"/>
  </r>
  <r>
    <x v="1"/>
    <s v="Travel_Frequently"/>
    <x v="0"/>
    <s v="Current Employees"/>
    <x v="0"/>
    <x v="0"/>
    <x v="548"/>
    <n v="754"/>
    <x v="1"/>
    <x v="0"/>
    <x v="1"/>
    <s v="No"/>
    <s v="Y"/>
    <n v="5"/>
    <n v="-2"/>
    <n v="0"/>
    <x v="23"/>
    <x v="1"/>
    <x v="1"/>
    <n v="0"/>
    <n v="1"/>
    <n v="775"/>
    <n v="15"/>
    <x v="3"/>
    <x v="0"/>
    <n v="4"/>
    <n v="47"/>
    <n v="2"/>
    <n v="2"/>
    <n v="4"/>
    <x v="197"/>
    <n v="23683"/>
    <n v="3"/>
    <n v="18"/>
    <n v="3"/>
    <n v="3"/>
    <n v="80"/>
    <n v="1"/>
    <n v="7"/>
    <n v="3"/>
    <n v="2"/>
    <n v="2"/>
    <n v="2"/>
    <n v="2"/>
  </r>
  <r>
    <x v="1"/>
    <s v="Travel_Rarely"/>
    <x v="2"/>
    <s v="Current Employees"/>
    <x v="1"/>
    <x v="2"/>
    <x v="549"/>
    <n v="757"/>
    <x v="0"/>
    <x v="4"/>
    <x v="0"/>
    <s v="No"/>
    <s v="Y"/>
    <n v="2"/>
    <n v="-2"/>
    <n v="0"/>
    <x v="13"/>
    <x v="1"/>
    <x v="1"/>
    <n v="0"/>
    <n v="1"/>
    <n v="970"/>
    <n v="8"/>
    <x v="0"/>
    <x v="0"/>
    <n v="2"/>
    <n v="96"/>
    <n v="3"/>
    <n v="2"/>
    <n v="3"/>
    <x v="528"/>
    <n v="7360"/>
    <n v="3"/>
    <n v="11"/>
    <n v="3"/>
    <n v="4"/>
    <n v="80"/>
    <n v="0"/>
    <n v="10"/>
    <n v="3"/>
    <n v="5"/>
    <n v="1"/>
    <n v="4"/>
    <n v="3"/>
  </r>
  <r>
    <x v="1"/>
    <s v="Travel_Rarely"/>
    <x v="4"/>
    <s v="Current Employees"/>
    <x v="1"/>
    <x v="2"/>
    <x v="550"/>
    <n v="758"/>
    <x v="1"/>
    <x v="2"/>
    <x v="1"/>
    <s v="No"/>
    <s v="Y"/>
    <n v="2"/>
    <n v="-2"/>
    <n v="0"/>
    <x v="30"/>
    <x v="1"/>
    <x v="1"/>
    <n v="0"/>
    <n v="1"/>
    <n v="650"/>
    <n v="9"/>
    <x v="1"/>
    <x v="0"/>
    <n v="2"/>
    <n v="37"/>
    <n v="3"/>
    <n v="1"/>
    <n v="3"/>
    <x v="172"/>
    <n v="4344"/>
    <n v="1"/>
    <n v="14"/>
    <n v="3"/>
    <n v="4"/>
    <n v="80"/>
    <n v="1"/>
    <n v="5"/>
    <n v="4"/>
    <n v="4"/>
    <n v="3"/>
    <n v="0"/>
    <n v="2"/>
  </r>
  <r>
    <x v="1"/>
    <s v="Travel_Rarely"/>
    <x v="0"/>
    <s v="Current Employees"/>
    <x v="2"/>
    <x v="5"/>
    <x v="551"/>
    <n v="760"/>
    <x v="0"/>
    <x v="8"/>
    <x v="1"/>
    <s v="No"/>
    <s v="Y"/>
    <n v="3"/>
    <n v="-2"/>
    <n v="0"/>
    <x v="22"/>
    <x v="1"/>
    <x v="1"/>
    <n v="0"/>
    <n v="1"/>
    <n v="141"/>
    <n v="3"/>
    <x v="3"/>
    <x v="0"/>
    <n v="3"/>
    <n v="44"/>
    <n v="4"/>
    <n v="2"/>
    <n v="3"/>
    <x v="529"/>
    <n v="18767"/>
    <n v="9"/>
    <n v="15"/>
    <n v="3"/>
    <n v="3"/>
    <n v="80"/>
    <n v="1"/>
    <n v="12"/>
    <n v="1"/>
    <n v="8"/>
    <n v="3"/>
    <n v="3"/>
    <n v="6"/>
  </r>
  <r>
    <x v="1"/>
    <s v="Travel_Rarely"/>
    <x v="3"/>
    <s v="Current Employees"/>
    <x v="1"/>
    <x v="2"/>
    <x v="552"/>
    <n v="762"/>
    <x v="1"/>
    <x v="4"/>
    <x v="1"/>
    <s v="No"/>
    <s v="Y"/>
    <n v="1"/>
    <n v="-2"/>
    <n v="0"/>
    <x v="29"/>
    <x v="1"/>
    <x v="1"/>
    <n v="0"/>
    <n v="1"/>
    <n v="832"/>
    <n v="9"/>
    <x v="3"/>
    <x v="0"/>
    <n v="3"/>
    <n v="81"/>
    <n v="3"/>
    <n v="4"/>
    <n v="4"/>
    <x v="530"/>
    <n v="20420"/>
    <n v="7"/>
    <n v="11"/>
    <n v="3"/>
    <n v="3"/>
    <n v="80"/>
    <n v="0"/>
    <n v="30"/>
    <n v="2"/>
    <n v="10"/>
    <n v="7"/>
    <n v="1"/>
    <n v="1"/>
  </r>
  <r>
    <x v="1"/>
    <s v="Travel_Rarely"/>
    <x v="0"/>
    <s v="Current Employees"/>
    <x v="1"/>
    <x v="2"/>
    <x v="553"/>
    <n v="763"/>
    <x v="0"/>
    <x v="1"/>
    <x v="0"/>
    <s v="Yes"/>
    <s v="Y"/>
    <n v="2"/>
    <n v="-2"/>
    <n v="0"/>
    <x v="32"/>
    <x v="1"/>
    <x v="1"/>
    <n v="0"/>
    <n v="1"/>
    <n v="804"/>
    <n v="2"/>
    <x v="1"/>
    <x v="0"/>
    <n v="4"/>
    <n v="86"/>
    <n v="2"/>
    <n v="1"/>
    <n v="4"/>
    <x v="531"/>
    <n v="22929"/>
    <n v="0"/>
    <n v="20"/>
    <n v="4"/>
    <n v="4"/>
    <n v="80"/>
    <n v="0"/>
    <n v="5"/>
    <n v="2"/>
    <n v="4"/>
    <n v="2"/>
    <n v="2"/>
    <n v="3"/>
  </r>
  <r>
    <x v="1"/>
    <s v="Travel_Rarely"/>
    <x v="2"/>
    <s v="Current Employees"/>
    <x v="1"/>
    <x v="2"/>
    <x v="554"/>
    <n v="764"/>
    <x v="0"/>
    <x v="4"/>
    <x v="0"/>
    <s v="No"/>
    <s v="Y"/>
    <n v="2"/>
    <n v="-2"/>
    <n v="0"/>
    <x v="4"/>
    <x v="1"/>
    <x v="1"/>
    <n v="0"/>
    <n v="1"/>
    <n v="975"/>
    <n v="7"/>
    <x v="3"/>
    <x v="0"/>
    <n v="4"/>
    <n v="55"/>
    <n v="2"/>
    <n v="2"/>
    <n v="3"/>
    <x v="445"/>
    <n v="23398"/>
    <n v="8"/>
    <n v="19"/>
    <n v="3"/>
    <n v="1"/>
    <n v="80"/>
    <n v="0"/>
    <n v="9"/>
    <n v="1"/>
    <n v="7"/>
    <n v="6"/>
    <n v="0"/>
    <n v="7"/>
  </r>
  <r>
    <x v="1"/>
    <s v="Travel_Rarely"/>
    <x v="2"/>
    <s v="Current Employees"/>
    <x v="0"/>
    <x v="3"/>
    <x v="555"/>
    <n v="766"/>
    <x v="1"/>
    <x v="6"/>
    <x v="2"/>
    <s v="No"/>
    <s v="Y"/>
    <n v="2"/>
    <n v="-2"/>
    <n v="0"/>
    <x v="11"/>
    <x v="1"/>
    <x v="1"/>
    <n v="0"/>
    <n v="1"/>
    <n v="1090"/>
    <n v="10"/>
    <x v="3"/>
    <x v="0"/>
    <n v="4"/>
    <n v="83"/>
    <n v="3"/>
    <n v="1"/>
    <n v="2"/>
    <x v="532"/>
    <n v="17967"/>
    <n v="1"/>
    <n v="14"/>
    <n v="3"/>
    <n v="4"/>
    <n v="80"/>
    <n v="2"/>
    <n v="2"/>
    <n v="3"/>
    <n v="2"/>
    <n v="2"/>
    <n v="2"/>
    <n v="2"/>
  </r>
  <r>
    <x v="1"/>
    <s v="Travel_Rarely"/>
    <x v="1"/>
    <s v="Current Employees"/>
    <x v="1"/>
    <x v="0"/>
    <x v="556"/>
    <n v="769"/>
    <x v="1"/>
    <x v="2"/>
    <x v="0"/>
    <s v="No"/>
    <s v="Y"/>
    <n v="4"/>
    <n v="-2"/>
    <n v="0"/>
    <x v="16"/>
    <x v="1"/>
    <x v="1"/>
    <n v="0"/>
    <n v="1"/>
    <n v="346"/>
    <n v="6"/>
    <x v="3"/>
    <x v="0"/>
    <n v="4"/>
    <n v="86"/>
    <n v="3"/>
    <n v="2"/>
    <n v="4"/>
    <x v="533"/>
    <n v="10919"/>
    <n v="2"/>
    <n v="17"/>
    <n v="3"/>
    <n v="4"/>
    <n v="80"/>
    <n v="0"/>
    <n v="19"/>
    <n v="3"/>
    <n v="2"/>
    <n v="2"/>
    <n v="2"/>
    <n v="2"/>
  </r>
  <r>
    <x v="1"/>
    <s v="Non-Travel"/>
    <x v="0"/>
    <s v="Current Employees"/>
    <x v="1"/>
    <x v="0"/>
    <x v="557"/>
    <n v="771"/>
    <x v="0"/>
    <x v="4"/>
    <x v="2"/>
    <s v="No"/>
    <s v="Y"/>
    <n v="2"/>
    <n v="-2"/>
    <n v="0"/>
    <x v="10"/>
    <x v="1"/>
    <x v="1"/>
    <n v="0"/>
    <n v="1"/>
    <n v="1225"/>
    <n v="2"/>
    <x v="2"/>
    <x v="0"/>
    <n v="4"/>
    <n v="61"/>
    <n v="3"/>
    <n v="2"/>
    <n v="1"/>
    <x v="534"/>
    <n v="4761"/>
    <n v="2"/>
    <n v="11"/>
    <n v="3"/>
    <n v="1"/>
    <n v="80"/>
    <n v="1"/>
    <n v="16"/>
    <n v="4"/>
    <n v="1"/>
    <n v="0"/>
    <n v="0"/>
    <n v="0"/>
  </r>
  <r>
    <x v="1"/>
    <s v="Travel_Frequently"/>
    <x v="2"/>
    <s v="Current Employees"/>
    <x v="1"/>
    <x v="0"/>
    <x v="558"/>
    <n v="772"/>
    <x v="1"/>
    <x v="2"/>
    <x v="1"/>
    <s v="No"/>
    <s v="Y"/>
    <n v="2"/>
    <n v="-2"/>
    <n v="0"/>
    <x v="5"/>
    <x v="1"/>
    <x v="1"/>
    <n v="0"/>
    <n v="1"/>
    <n v="430"/>
    <n v="24"/>
    <x v="2"/>
    <x v="0"/>
    <n v="1"/>
    <n v="80"/>
    <n v="3"/>
    <n v="2"/>
    <n v="1"/>
    <x v="535"/>
    <n v="21146"/>
    <n v="1"/>
    <n v="15"/>
    <n v="3"/>
    <n v="4"/>
    <n v="80"/>
    <n v="2"/>
    <n v="10"/>
    <n v="3"/>
    <n v="10"/>
    <n v="8"/>
    <n v="4"/>
    <n v="7"/>
  </r>
  <r>
    <x v="1"/>
    <s v="Travel_Rarely"/>
    <x v="0"/>
    <s v="Current Employees"/>
    <x v="1"/>
    <x v="2"/>
    <x v="559"/>
    <n v="773"/>
    <x v="1"/>
    <x v="1"/>
    <x v="1"/>
    <s v="Yes"/>
    <s v="Y"/>
    <n v="0"/>
    <n v="-2"/>
    <n v="0"/>
    <x v="8"/>
    <x v="1"/>
    <x v="1"/>
    <n v="0"/>
    <n v="1"/>
    <n v="268"/>
    <n v="2"/>
    <x v="4"/>
    <x v="0"/>
    <n v="4"/>
    <n v="92"/>
    <n v="3"/>
    <n v="1"/>
    <n v="3"/>
    <x v="536"/>
    <n v="20471"/>
    <n v="6"/>
    <n v="13"/>
    <n v="3"/>
    <n v="2"/>
    <n v="80"/>
    <n v="1"/>
    <n v="6"/>
    <n v="1"/>
    <n v="1"/>
    <n v="0"/>
    <n v="0"/>
    <n v="1"/>
  </r>
  <r>
    <x v="1"/>
    <s v="Travel_Rarely"/>
    <x v="2"/>
    <s v="Current Employees"/>
    <x v="1"/>
    <x v="0"/>
    <x v="560"/>
    <n v="775"/>
    <x v="0"/>
    <x v="3"/>
    <x v="2"/>
    <s v="No"/>
    <s v="Y"/>
    <n v="3"/>
    <n v="-2"/>
    <n v="0"/>
    <x v="13"/>
    <x v="1"/>
    <x v="1"/>
    <n v="0"/>
    <n v="1"/>
    <n v="167"/>
    <n v="8"/>
    <x v="4"/>
    <x v="0"/>
    <n v="2"/>
    <n v="32"/>
    <n v="3"/>
    <n v="2"/>
    <n v="1"/>
    <x v="537"/>
    <n v="4187"/>
    <n v="3"/>
    <n v="14"/>
    <n v="3"/>
    <n v="3"/>
    <n v="80"/>
    <n v="1"/>
    <n v="7"/>
    <n v="3"/>
    <n v="0"/>
    <n v="0"/>
    <n v="0"/>
    <n v="0"/>
  </r>
  <r>
    <x v="1"/>
    <s v="Travel_Rarely"/>
    <x v="1"/>
    <s v="Current Employees"/>
    <x v="0"/>
    <x v="3"/>
    <x v="561"/>
    <n v="776"/>
    <x v="1"/>
    <x v="5"/>
    <x v="1"/>
    <s v="No"/>
    <s v="Y"/>
    <n v="3"/>
    <n v="-2"/>
    <n v="0"/>
    <x v="39"/>
    <x v="1"/>
    <x v="1"/>
    <n v="0"/>
    <n v="1"/>
    <n v="621"/>
    <n v="3"/>
    <x v="2"/>
    <x v="0"/>
    <n v="3"/>
    <n v="31"/>
    <n v="2"/>
    <n v="4"/>
    <n v="2"/>
    <x v="538"/>
    <n v="10084"/>
    <n v="1"/>
    <n v="11"/>
    <n v="3"/>
    <n v="1"/>
    <n v="80"/>
    <n v="0"/>
    <n v="34"/>
    <n v="4"/>
    <n v="34"/>
    <n v="6"/>
    <n v="1"/>
    <n v="16"/>
  </r>
  <r>
    <x v="0"/>
    <s v="Travel_Rarely"/>
    <x v="2"/>
    <s v="Ex-Employees"/>
    <x v="1"/>
    <x v="1"/>
    <x v="562"/>
    <n v="780"/>
    <x v="1"/>
    <x v="1"/>
    <x v="0"/>
    <s v="Yes"/>
    <s v="Y"/>
    <n v="2"/>
    <n v="-2"/>
    <n v="0"/>
    <x v="3"/>
    <x v="0"/>
    <x v="0"/>
    <n v="1"/>
    <n v="0"/>
    <n v="527"/>
    <n v="1"/>
    <x v="2"/>
    <x v="0"/>
    <n v="4"/>
    <n v="63"/>
    <n v="3"/>
    <n v="1"/>
    <n v="4"/>
    <x v="539"/>
    <n v="5207"/>
    <n v="1"/>
    <n v="13"/>
    <n v="3"/>
    <n v="3"/>
    <n v="80"/>
    <n v="0"/>
    <n v="10"/>
    <n v="2"/>
    <n v="10"/>
    <n v="9"/>
    <n v="7"/>
    <n v="8"/>
  </r>
  <r>
    <x v="1"/>
    <s v="Travel_Rarely"/>
    <x v="2"/>
    <s v="Current Employees"/>
    <x v="0"/>
    <x v="2"/>
    <x v="563"/>
    <n v="781"/>
    <x v="0"/>
    <x v="0"/>
    <x v="0"/>
    <s v="No"/>
    <s v="Y"/>
    <n v="5"/>
    <n v="-2"/>
    <n v="0"/>
    <x v="36"/>
    <x v="1"/>
    <x v="1"/>
    <n v="0"/>
    <n v="1"/>
    <n v="883"/>
    <n v="26"/>
    <x v="1"/>
    <x v="0"/>
    <n v="3"/>
    <n v="32"/>
    <n v="3"/>
    <n v="2"/>
    <n v="4"/>
    <x v="540"/>
    <n v="22807"/>
    <n v="1"/>
    <n v="23"/>
    <n v="4"/>
    <n v="2"/>
    <n v="80"/>
    <n v="0"/>
    <n v="6"/>
    <n v="2"/>
    <n v="6"/>
    <n v="5"/>
    <n v="1"/>
    <n v="4"/>
  </r>
  <r>
    <x v="1"/>
    <s v="Travel_Rarely"/>
    <x v="1"/>
    <s v="Current Employees"/>
    <x v="0"/>
    <x v="4"/>
    <x v="564"/>
    <n v="783"/>
    <x v="1"/>
    <x v="6"/>
    <x v="0"/>
    <s v="No"/>
    <s v="Y"/>
    <n v="3"/>
    <n v="-2"/>
    <n v="0"/>
    <x v="28"/>
    <x v="1"/>
    <x v="1"/>
    <n v="0"/>
    <n v="1"/>
    <n v="954"/>
    <n v="2"/>
    <x v="0"/>
    <x v="0"/>
    <n v="4"/>
    <n v="46"/>
    <n v="1"/>
    <n v="2"/>
    <n v="4"/>
    <x v="541"/>
    <n v="12388"/>
    <n v="0"/>
    <n v="13"/>
    <n v="3"/>
    <n v="1"/>
    <n v="80"/>
    <n v="0"/>
    <n v="9"/>
    <n v="3"/>
    <n v="8"/>
    <n v="7"/>
    <n v="3"/>
    <n v="1"/>
  </r>
  <r>
    <x v="1"/>
    <s v="Travel_Rarely"/>
    <x v="4"/>
    <s v="Current Employees"/>
    <x v="1"/>
    <x v="2"/>
    <x v="565"/>
    <n v="784"/>
    <x v="1"/>
    <x v="1"/>
    <x v="0"/>
    <s v="No"/>
    <s v="Y"/>
    <n v="3"/>
    <n v="-2"/>
    <n v="0"/>
    <x v="30"/>
    <x v="1"/>
    <x v="1"/>
    <n v="0"/>
    <n v="1"/>
    <n v="310"/>
    <n v="10"/>
    <x v="1"/>
    <x v="0"/>
    <n v="1"/>
    <n v="79"/>
    <n v="4"/>
    <n v="1"/>
    <n v="3"/>
    <x v="542"/>
    <n v="19630"/>
    <n v="1"/>
    <n v="18"/>
    <n v="3"/>
    <n v="4"/>
    <n v="80"/>
    <n v="0"/>
    <n v="2"/>
    <n v="3"/>
    <n v="2"/>
    <n v="2"/>
    <n v="0"/>
    <n v="2"/>
  </r>
  <r>
    <x v="0"/>
    <s v="Travel_Frequently"/>
    <x v="1"/>
    <s v="Ex-Employees"/>
    <x v="0"/>
    <x v="0"/>
    <x v="566"/>
    <n v="785"/>
    <x v="0"/>
    <x v="0"/>
    <x v="0"/>
    <s v="Yes"/>
    <s v="Y"/>
    <n v="2"/>
    <n v="-2"/>
    <n v="0"/>
    <x v="40"/>
    <x v="0"/>
    <x v="0"/>
    <n v="1"/>
    <n v="0"/>
    <n v="719"/>
    <n v="27"/>
    <x v="0"/>
    <x v="0"/>
    <n v="2"/>
    <n v="77"/>
    <n v="4"/>
    <n v="2"/>
    <n v="1"/>
    <x v="271"/>
    <n v="10339"/>
    <n v="4"/>
    <n v="12"/>
    <n v="3"/>
    <n v="4"/>
    <n v="80"/>
    <n v="0"/>
    <n v="8"/>
    <n v="3"/>
    <n v="5"/>
    <n v="4"/>
    <n v="1"/>
    <n v="3"/>
  </r>
  <r>
    <x v="1"/>
    <s v="Travel_Rarely"/>
    <x v="2"/>
    <s v="Current Employees"/>
    <x v="0"/>
    <x v="1"/>
    <x v="567"/>
    <n v="786"/>
    <x v="1"/>
    <x v="0"/>
    <x v="0"/>
    <s v="No"/>
    <s v="Y"/>
    <n v="5"/>
    <n v="-2"/>
    <n v="0"/>
    <x v="13"/>
    <x v="1"/>
    <x v="1"/>
    <n v="0"/>
    <n v="1"/>
    <n v="304"/>
    <n v="2"/>
    <x v="3"/>
    <x v="0"/>
    <n v="4"/>
    <n v="60"/>
    <n v="3"/>
    <n v="2"/>
    <n v="4"/>
    <x v="543"/>
    <n v="18686"/>
    <n v="1"/>
    <n v="22"/>
    <n v="4"/>
    <n v="3"/>
    <n v="80"/>
    <n v="0"/>
    <n v="6"/>
    <n v="3"/>
    <n v="6"/>
    <n v="5"/>
    <n v="1"/>
    <n v="4"/>
  </r>
  <r>
    <x v="0"/>
    <s v="Travel_Rarely"/>
    <x v="3"/>
    <s v="Ex-Employees"/>
    <x v="1"/>
    <x v="2"/>
    <x v="568"/>
    <n v="787"/>
    <x v="1"/>
    <x v="5"/>
    <x v="1"/>
    <s v="Yes"/>
    <s v="Y"/>
    <n v="2"/>
    <n v="-2"/>
    <n v="0"/>
    <x v="27"/>
    <x v="0"/>
    <x v="0"/>
    <n v="1"/>
    <n v="0"/>
    <n v="725"/>
    <n v="2"/>
    <x v="3"/>
    <x v="0"/>
    <n v="4"/>
    <n v="78"/>
    <n v="3"/>
    <n v="5"/>
    <n v="3"/>
    <x v="544"/>
    <n v="21199"/>
    <n v="5"/>
    <n v="13"/>
    <n v="3"/>
    <n v="4"/>
    <n v="80"/>
    <n v="1"/>
    <n v="24"/>
    <n v="3"/>
    <n v="5"/>
    <n v="2"/>
    <n v="1"/>
    <n v="4"/>
  </r>
  <r>
    <x v="1"/>
    <s v="Non-Travel"/>
    <x v="0"/>
    <s v="Current Employees"/>
    <x v="0"/>
    <x v="0"/>
    <x v="569"/>
    <n v="789"/>
    <x v="1"/>
    <x v="0"/>
    <x v="0"/>
    <s v="No"/>
    <s v="Y"/>
    <n v="1"/>
    <n v="-2"/>
    <n v="0"/>
    <x v="9"/>
    <x v="1"/>
    <x v="1"/>
    <n v="0"/>
    <n v="1"/>
    <n v="1434"/>
    <n v="8"/>
    <x v="2"/>
    <x v="0"/>
    <n v="1"/>
    <n v="76"/>
    <n v="2"/>
    <n v="3"/>
    <n v="1"/>
    <x v="545"/>
    <n v="14229"/>
    <n v="1"/>
    <n v="15"/>
    <n v="3"/>
    <n v="2"/>
    <n v="80"/>
    <n v="0"/>
    <n v="10"/>
    <n v="3"/>
    <n v="10"/>
    <n v="7"/>
    <n v="0"/>
    <n v="9"/>
  </r>
  <r>
    <x v="1"/>
    <s v="Non-Travel"/>
    <x v="1"/>
    <s v="Current Employees"/>
    <x v="1"/>
    <x v="2"/>
    <x v="570"/>
    <n v="791"/>
    <x v="1"/>
    <x v="1"/>
    <x v="1"/>
    <s v="No"/>
    <s v="Y"/>
    <n v="3"/>
    <n v="-2"/>
    <n v="0"/>
    <x v="39"/>
    <x v="1"/>
    <x v="1"/>
    <n v="0"/>
    <n v="1"/>
    <n v="715"/>
    <n v="19"/>
    <x v="2"/>
    <x v="0"/>
    <n v="4"/>
    <n v="41"/>
    <n v="3"/>
    <n v="1"/>
    <n v="4"/>
    <x v="546"/>
    <n v="26589"/>
    <n v="0"/>
    <n v="18"/>
    <n v="3"/>
    <n v="1"/>
    <n v="80"/>
    <n v="1"/>
    <n v="5"/>
    <n v="3"/>
    <n v="4"/>
    <n v="3"/>
    <n v="1"/>
    <n v="2"/>
  </r>
  <r>
    <x v="1"/>
    <s v="Travel_Frequently"/>
    <x v="2"/>
    <s v="Current Employees"/>
    <x v="1"/>
    <x v="0"/>
    <x v="571"/>
    <n v="792"/>
    <x v="0"/>
    <x v="2"/>
    <x v="2"/>
    <s v="No"/>
    <s v="Y"/>
    <n v="2"/>
    <n v="-2"/>
    <n v="0"/>
    <x v="25"/>
    <x v="1"/>
    <x v="1"/>
    <n v="0"/>
    <n v="1"/>
    <n v="575"/>
    <n v="1"/>
    <x v="0"/>
    <x v="0"/>
    <n v="1"/>
    <n v="71"/>
    <n v="1"/>
    <n v="1"/>
    <n v="1"/>
    <x v="547"/>
    <n v="5288"/>
    <n v="3"/>
    <n v="14"/>
    <n v="3"/>
    <n v="1"/>
    <n v="80"/>
    <n v="1"/>
    <n v="5"/>
    <n v="3"/>
    <n v="2"/>
    <n v="2"/>
    <n v="2"/>
    <n v="0"/>
  </r>
  <r>
    <x v="1"/>
    <s v="Travel_Rarely"/>
    <x v="2"/>
    <s v="Current Employees"/>
    <x v="1"/>
    <x v="2"/>
    <x v="572"/>
    <n v="793"/>
    <x v="0"/>
    <x v="4"/>
    <x v="1"/>
    <s v="No"/>
    <s v="Y"/>
    <n v="3"/>
    <n v="-2"/>
    <n v="0"/>
    <x v="11"/>
    <x v="1"/>
    <x v="1"/>
    <n v="0"/>
    <n v="1"/>
    <n v="657"/>
    <n v="27"/>
    <x v="3"/>
    <x v="0"/>
    <n v="2"/>
    <n v="66"/>
    <n v="3"/>
    <n v="2"/>
    <n v="3"/>
    <x v="548"/>
    <n v="25549"/>
    <n v="4"/>
    <n v="12"/>
    <n v="3"/>
    <n v="1"/>
    <n v="80"/>
    <n v="1"/>
    <n v="11"/>
    <n v="2"/>
    <n v="8"/>
    <n v="7"/>
    <n v="1"/>
    <n v="1"/>
  </r>
  <r>
    <x v="0"/>
    <s v="Travel_Rarely"/>
    <x v="2"/>
    <s v="Ex-Employees"/>
    <x v="0"/>
    <x v="4"/>
    <x v="573"/>
    <n v="796"/>
    <x v="1"/>
    <x v="0"/>
    <x v="0"/>
    <s v="No"/>
    <s v="Y"/>
    <n v="2"/>
    <n v="-2"/>
    <n v="0"/>
    <x v="25"/>
    <x v="0"/>
    <x v="0"/>
    <n v="1"/>
    <n v="0"/>
    <n v="1146"/>
    <n v="8"/>
    <x v="3"/>
    <x v="0"/>
    <n v="4"/>
    <n v="38"/>
    <n v="2"/>
    <n v="2"/>
    <n v="4"/>
    <x v="549"/>
    <n v="3064"/>
    <n v="6"/>
    <n v="17"/>
    <n v="3"/>
    <n v="3"/>
    <n v="80"/>
    <n v="0"/>
    <n v="6"/>
    <n v="2"/>
    <n v="4"/>
    <n v="3"/>
    <n v="1"/>
    <n v="2"/>
  </r>
  <r>
    <x v="1"/>
    <s v="Travel_Rarely"/>
    <x v="2"/>
    <s v="Current Employees"/>
    <x v="1"/>
    <x v="0"/>
    <x v="574"/>
    <n v="797"/>
    <x v="0"/>
    <x v="1"/>
    <x v="0"/>
    <s v="No"/>
    <s v="Y"/>
    <n v="2"/>
    <n v="-2"/>
    <n v="0"/>
    <x v="13"/>
    <x v="1"/>
    <x v="1"/>
    <n v="0"/>
    <n v="1"/>
    <n v="182"/>
    <n v="1"/>
    <x v="2"/>
    <x v="0"/>
    <n v="2"/>
    <n v="72"/>
    <n v="4"/>
    <n v="1"/>
    <n v="1"/>
    <x v="550"/>
    <n v="13551"/>
    <n v="2"/>
    <n v="16"/>
    <n v="3"/>
    <n v="3"/>
    <n v="80"/>
    <n v="0"/>
    <n v="10"/>
    <n v="3"/>
    <n v="4"/>
    <n v="2"/>
    <n v="1"/>
    <n v="3"/>
  </r>
  <r>
    <x v="1"/>
    <s v="Travel_Rarely"/>
    <x v="1"/>
    <s v="Current Employees"/>
    <x v="1"/>
    <x v="2"/>
    <x v="575"/>
    <n v="799"/>
    <x v="0"/>
    <x v="3"/>
    <x v="2"/>
    <s v="Yes"/>
    <s v="Y"/>
    <n v="4"/>
    <n v="-2"/>
    <n v="0"/>
    <x v="33"/>
    <x v="1"/>
    <x v="1"/>
    <n v="0"/>
    <n v="1"/>
    <n v="376"/>
    <n v="19"/>
    <x v="2"/>
    <x v="0"/>
    <n v="4"/>
    <n v="95"/>
    <n v="3"/>
    <n v="2"/>
    <n v="3"/>
    <x v="551"/>
    <n v="22670"/>
    <n v="9"/>
    <n v="11"/>
    <n v="3"/>
    <n v="2"/>
    <n v="80"/>
    <n v="2"/>
    <n v="9"/>
    <n v="3"/>
    <n v="5"/>
    <n v="3"/>
    <n v="1"/>
    <n v="4"/>
  </r>
  <r>
    <x v="1"/>
    <s v="Travel_Frequently"/>
    <x v="2"/>
    <s v="Current Employees"/>
    <x v="0"/>
    <x v="3"/>
    <x v="576"/>
    <n v="800"/>
    <x v="1"/>
    <x v="0"/>
    <x v="1"/>
    <s v="No"/>
    <s v="Y"/>
    <n v="3"/>
    <n v="-2"/>
    <n v="0"/>
    <x v="4"/>
    <x v="1"/>
    <x v="1"/>
    <n v="0"/>
    <n v="1"/>
    <n v="829"/>
    <n v="8"/>
    <x v="1"/>
    <x v="0"/>
    <n v="3"/>
    <n v="84"/>
    <n v="3"/>
    <n v="2"/>
    <n v="2"/>
    <x v="552"/>
    <n v="24008"/>
    <n v="0"/>
    <n v="19"/>
    <n v="3"/>
    <n v="2"/>
    <n v="80"/>
    <n v="1"/>
    <n v="5"/>
    <n v="3"/>
    <n v="4"/>
    <n v="2"/>
    <n v="1"/>
    <n v="1"/>
  </r>
  <r>
    <x v="1"/>
    <s v="Travel_Rarely"/>
    <x v="0"/>
    <s v="Current Employees"/>
    <x v="1"/>
    <x v="0"/>
    <x v="577"/>
    <n v="802"/>
    <x v="0"/>
    <x v="1"/>
    <x v="2"/>
    <s v="Yes"/>
    <s v="Y"/>
    <n v="3"/>
    <n v="-2"/>
    <n v="0"/>
    <x v="2"/>
    <x v="1"/>
    <x v="1"/>
    <n v="0"/>
    <n v="1"/>
    <n v="571"/>
    <n v="10"/>
    <x v="1"/>
    <x v="0"/>
    <n v="4"/>
    <n v="82"/>
    <n v="3"/>
    <n v="1"/>
    <n v="1"/>
    <x v="553"/>
    <n v="19905"/>
    <n v="0"/>
    <n v="13"/>
    <n v="3"/>
    <n v="2"/>
    <n v="80"/>
    <n v="2"/>
    <n v="6"/>
    <n v="2"/>
    <n v="5"/>
    <n v="3"/>
    <n v="4"/>
    <n v="3"/>
  </r>
  <r>
    <x v="1"/>
    <s v="Travel_Frequently"/>
    <x v="0"/>
    <s v="Current Employees"/>
    <x v="1"/>
    <x v="0"/>
    <x v="578"/>
    <n v="803"/>
    <x v="0"/>
    <x v="3"/>
    <x v="0"/>
    <s v="Yes"/>
    <s v="Y"/>
    <n v="2"/>
    <n v="-2"/>
    <n v="0"/>
    <x v="8"/>
    <x v="1"/>
    <x v="1"/>
    <n v="0"/>
    <n v="1"/>
    <n v="240"/>
    <n v="2"/>
    <x v="2"/>
    <x v="0"/>
    <n v="1"/>
    <n v="75"/>
    <n v="4"/>
    <n v="2"/>
    <n v="1"/>
    <x v="554"/>
    <n v="26085"/>
    <n v="6"/>
    <n v="12"/>
    <n v="3"/>
    <n v="4"/>
    <n v="80"/>
    <n v="0"/>
    <n v="17"/>
    <n v="3"/>
    <n v="15"/>
    <n v="7"/>
    <n v="4"/>
    <n v="12"/>
  </r>
  <r>
    <x v="1"/>
    <s v="Travel_Rarely"/>
    <x v="2"/>
    <s v="Current Employees"/>
    <x v="1"/>
    <x v="2"/>
    <x v="579"/>
    <n v="804"/>
    <x v="0"/>
    <x v="1"/>
    <x v="0"/>
    <s v="No"/>
    <s v="Y"/>
    <n v="3"/>
    <n v="-2"/>
    <n v="0"/>
    <x v="13"/>
    <x v="1"/>
    <x v="1"/>
    <n v="0"/>
    <n v="1"/>
    <n v="121"/>
    <n v="2"/>
    <x v="2"/>
    <x v="0"/>
    <n v="3"/>
    <n v="86"/>
    <n v="2"/>
    <n v="1"/>
    <n v="3"/>
    <x v="555"/>
    <n v="7530"/>
    <n v="1"/>
    <n v="11"/>
    <n v="3"/>
    <n v="3"/>
    <n v="80"/>
    <n v="0"/>
    <n v="6"/>
    <n v="3"/>
    <n v="6"/>
    <n v="5"/>
    <n v="1"/>
    <n v="3"/>
  </r>
  <r>
    <x v="1"/>
    <s v="Travel_Rarely"/>
    <x v="0"/>
    <s v="Current Employees"/>
    <x v="0"/>
    <x v="0"/>
    <x v="580"/>
    <n v="805"/>
    <x v="0"/>
    <x v="6"/>
    <x v="1"/>
    <s v="No"/>
    <s v="Y"/>
    <n v="1"/>
    <n v="-2"/>
    <n v="0"/>
    <x v="10"/>
    <x v="1"/>
    <x v="1"/>
    <n v="0"/>
    <n v="1"/>
    <n v="384"/>
    <n v="8"/>
    <x v="2"/>
    <x v="0"/>
    <n v="1"/>
    <n v="72"/>
    <n v="3"/>
    <n v="1"/>
    <n v="1"/>
    <x v="556"/>
    <n v="20317"/>
    <n v="1"/>
    <n v="16"/>
    <n v="3"/>
    <n v="2"/>
    <n v="80"/>
    <n v="1"/>
    <n v="3"/>
    <n v="2"/>
    <n v="3"/>
    <n v="2"/>
    <n v="0"/>
    <n v="2"/>
  </r>
  <r>
    <x v="1"/>
    <s v="Travel_Rarely"/>
    <x v="2"/>
    <s v="Current Employees"/>
    <x v="1"/>
    <x v="0"/>
    <x v="581"/>
    <n v="806"/>
    <x v="1"/>
    <x v="2"/>
    <x v="1"/>
    <s v="No"/>
    <s v="Y"/>
    <n v="2"/>
    <n v="-2"/>
    <n v="0"/>
    <x v="7"/>
    <x v="1"/>
    <x v="1"/>
    <n v="0"/>
    <n v="1"/>
    <n v="921"/>
    <n v="1"/>
    <x v="3"/>
    <x v="0"/>
    <n v="4"/>
    <n v="38"/>
    <n v="1"/>
    <n v="1"/>
    <n v="1"/>
    <x v="557"/>
    <n v="24375"/>
    <n v="3"/>
    <n v="21"/>
    <n v="4"/>
    <n v="3"/>
    <n v="80"/>
    <n v="2"/>
    <n v="7"/>
    <n v="3"/>
    <n v="2"/>
    <n v="2"/>
    <n v="0"/>
    <n v="2"/>
  </r>
  <r>
    <x v="1"/>
    <s v="Travel_Frequently"/>
    <x v="0"/>
    <s v="Current Employees"/>
    <x v="1"/>
    <x v="2"/>
    <x v="582"/>
    <n v="807"/>
    <x v="0"/>
    <x v="4"/>
    <x v="1"/>
    <s v="No"/>
    <s v="Y"/>
    <n v="2"/>
    <n v="-2"/>
    <n v="0"/>
    <x v="32"/>
    <x v="1"/>
    <x v="1"/>
    <n v="0"/>
    <n v="1"/>
    <n v="791"/>
    <n v="2"/>
    <x v="0"/>
    <x v="0"/>
    <n v="3"/>
    <n v="38"/>
    <n v="4"/>
    <n v="2"/>
    <n v="3"/>
    <x v="558"/>
    <n v="9931"/>
    <n v="1"/>
    <n v="24"/>
    <n v="4"/>
    <n v="4"/>
    <n v="80"/>
    <n v="1"/>
    <n v="8"/>
    <n v="3"/>
    <n v="8"/>
    <n v="7"/>
    <n v="3"/>
    <n v="7"/>
  </r>
  <r>
    <x v="1"/>
    <s v="Travel_Rarely"/>
    <x v="2"/>
    <s v="Current Employees"/>
    <x v="0"/>
    <x v="0"/>
    <x v="583"/>
    <n v="808"/>
    <x v="0"/>
    <x v="0"/>
    <x v="1"/>
    <s v="No"/>
    <s v="Y"/>
    <n v="1"/>
    <n v="-2"/>
    <n v="0"/>
    <x v="13"/>
    <x v="1"/>
    <x v="1"/>
    <n v="0"/>
    <n v="1"/>
    <n v="1111"/>
    <n v="8"/>
    <x v="0"/>
    <x v="0"/>
    <n v="3"/>
    <n v="93"/>
    <n v="3"/>
    <n v="2"/>
    <n v="1"/>
    <x v="559"/>
    <n v="13305"/>
    <n v="5"/>
    <n v="17"/>
    <n v="3"/>
    <n v="2"/>
    <n v="80"/>
    <n v="1"/>
    <n v="6"/>
    <n v="3"/>
    <n v="3"/>
    <n v="2"/>
    <n v="1"/>
    <n v="2"/>
  </r>
  <r>
    <x v="1"/>
    <s v="Travel_Frequently"/>
    <x v="0"/>
    <s v="Current Employees"/>
    <x v="1"/>
    <x v="0"/>
    <x v="584"/>
    <n v="809"/>
    <x v="1"/>
    <x v="5"/>
    <x v="2"/>
    <s v="No"/>
    <s v="Y"/>
    <n v="4"/>
    <n v="-2"/>
    <n v="0"/>
    <x v="19"/>
    <x v="1"/>
    <x v="1"/>
    <n v="0"/>
    <n v="1"/>
    <n v="570"/>
    <n v="8"/>
    <x v="3"/>
    <x v="0"/>
    <n v="2"/>
    <n v="66"/>
    <n v="3"/>
    <n v="5"/>
    <n v="1"/>
    <x v="560"/>
    <n v="16225"/>
    <n v="1"/>
    <n v="13"/>
    <n v="3"/>
    <n v="2"/>
    <n v="80"/>
    <n v="1"/>
    <n v="24"/>
    <n v="2"/>
    <n v="24"/>
    <n v="7"/>
    <n v="14"/>
    <n v="9"/>
  </r>
  <r>
    <x v="0"/>
    <s v="Travel_Rarely"/>
    <x v="4"/>
    <s v="Ex-Employees"/>
    <x v="1"/>
    <x v="0"/>
    <x v="585"/>
    <n v="811"/>
    <x v="1"/>
    <x v="2"/>
    <x v="1"/>
    <s v="Yes"/>
    <s v="Y"/>
    <n v="2"/>
    <n v="-2"/>
    <n v="0"/>
    <x v="30"/>
    <x v="0"/>
    <x v="0"/>
    <n v="1"/>
    <n v="0"/>
    <n v="1243"/>
    <n v="6"/>
    <x v="3"/>
    <x v="0"/>
    <n v="3"/>
    <n v="63"/>
    <n v="4"/>
    <n v="1"/>
    <n v="1"/>
    <x v="561"/>
    <n v="3445"/>
    <n v="1"/>
    <n v="21"/>
    <n v="4"/>
    <n v="3"/>
    <n v="80"/>
    <n v="2"/>
    <n v="1"/>
    <n v="3"/>
    <n v="0"/>
    <n v="0"/>
    <n v="0"/>
    <n v="0"/>
  </r>
  <r>
    <x v="1"/>
    <s v="Non-Travel"/>
    <x v="4"/>
    <s v="Current Employees"/>
    <x v="1"/>
    <x v="0"/>
    <x v="586"/>
    <n v="812"/>
    <x v="1"/>
    <x v="2"/>
    <x v="2"/>
    <s v="No"/>
    <s v="Y"/>
    <n v="4"/>
    <n v="-2"/>
    <n v="0"/>
    <x v="17"/>
    <x v="1"/>
    <x v="1"/>
    <n v="0"/>
    <n v="1"/>
    <n v="1092"/>
    <n v="9"/>
    <x v="3"/>
    <x v="0"/>
    <n v="3"/>
    <n v="60"/>
    <n v="2"/>
    <n v="1"/>
    <n v="1"/>
    <x v="562"/>
    <n v="26551"/>
    <n v="1"/>
    <n v="11"/>
    <n v="3"/>
    <n v="3"/>
    <n v="80"/>
    <n v="3"/>
    <n v="1"/>
    <n v="3"/>
    <n v="1"/>
    <n v="0"/>
    <n v="0"/>
    <n v="0"/>
  </r>
  <r>
    <x v="1"/>
    <s v="Travel_Rarely"/>
    <x v="1"/>
    <s v="Current Employees"/>
    <x v="1"/>
    <x v="0"/>
    <x v="587"/>
    <n v="813"/>
    <x v="0"/>
    <x v="2"/>
    <x v="1"/>
    <s v="No"/>
    <s v="Y"/>
    <n v="3"/>
    <n v="-2"/>
    <n v="0"/>
    <x v="39"/>
    <x v="1"/>
    <x v="1"/>
    <n v="0"/>
    <n v="1"/>
    <n v="1325"/>
    <n v="11"/>
    <x v="2"/>
    <x v="0"/>
    <n v="4"/>
    <n v="82"/>
    <n v="3"/>
    <n v="2"/>
    <n v="1"/>
    <x v="563"/>
    <n v="21821"/>
    <n v="8"/>
    <n v="20"/>
    <n v="4"/>
    <n v="2"/>
    <n v="80"/>
    <n v="1"/>
    <n v="9"/>
    <n v="3"/>
    <n v="5"/>
    <n v="2"/>
    <n v="1"/>
    <n v="4"/>
  </r>
  <r>
    <x v="1"/>
    <s v="Travel_Rarely"/>
    <x v="1"/>
    <s v="Current Employees"/>
    <x v="1"/>
    <x v="2"/>
    <x v="588"/>
    <n v="815"/>
    <x v="1"/>
    <x v="7"/>
    <x v="1"/>
    <s v="No"/>
    <s v="Y"/>
    <n v="3"/>
    <n v="-2"/>
    <n v="0"/>
    <x v="24"/>
    <x v="1"/>
    <x v="1"/>
    <n v="0"/>
    <n v="1"/>
    <n v="691"/>
    <n v="2"/>
    <x v="3"/>
    <x v="0"/>
    <n v="3"/>
    <n v="64"/>
    <n v="3"/>
    <n v="4"/>
    <n v="3"/>
    <x v="564"/>
    <n v="6881"/>
    <n v="5"/>
    <n v="16"/>
    <n v="3"/>
    <n v="4"/>
    <n v="80"/>
    <n v="0"/>
    <n v="30"/>
    <n v="3"/>
    <n v="4"/>
    <n v="3"/>
    <n v="0"/>
    <n v="3"/>
  </r>
  <r>
    <x v="0"/>
    <s v="Travel_Rarely"/>
    <x v="2"/>
    <s v="Ex-Employees"/>
    <x v="1"/>
    <x v="0"/>
    <x v="589"/>
    <n v="816"/>
    <x v="0"/>
    <x v="2"/>
    <x v="1"/>
    <s v="Yes"/>
    <s v="Y"/>
    <n v="1"/>
    <n v="-2"/>
    <n v="0"/>
    <x v="11"/>
    <x v="0"/>
    <x v="0"/>
    <n v="1"/>
    <n v="0"/>
    <n v="805"/>
    <n v="1"/>
    <x v="0"/>
    <x v="0"/>
    <n v="2"/>
    <n v="36"/>
    <n v="2"/>
    <n v="1"/>
    <n v="1"/>
    <x v="565"/>
    <n v="6689"/>
    <n v="1"/>
    <n v="11"/>
    <n v="3"/>
    <n v="4"/>
    <n v="80"/>
    <n v="1"/>
    <n v="1"/>
    <n v="3"/>
    <n v="1"/>
    <n v="0"/>
    <n v="0"/>
    <n v="0"/>
  </r>
  <r>
    <x v="1"/>
    <s v="Travel_Rarely"/>
    <x v="2"/>
    <s v="Current Employees"/>
    <x v="1"/>
    <x v="2"/>
    <x v="590"/>
    <n v="817"/>
    <x v="1"/>
    <x v="7"/>
    <x v="1"/>
    <s v="No"/>
    <s v="Y"/>
    <n v="3"/>
    <n v="-2"/>
    <n v="0"/>
    <x v="3"/>
    <x v="1"/>
    <x v="1"/>
    <n v="0"/>
    <n v="1"/>
    <n v="213"/>
    <n v="7"/>
    <x v="3"/>
    <x v="0"/>
    <n v="3"/>
    <n v="49"/>
    <n v="3"/>
    <n v="3"/>
    <n v="3"/>
    <x v="566"/>
    <n v="25995"/>
    <n v="0"/>
    <n v="11"/>
    <n v="3"/>
    <n v="4"/>
    <n v="80"/>
    <n v="0"/>
    <n v="14"/>
    <n v="4"/>
    <n v="13"/>
    <n v="9"/>
    <n v="3"/>
    <n v="7"/>
  </r>
  <r>
    <x v="0"/>
    <s v="Travel_Rarely"/>
    <x v="2"/>
    <s v="Ex-Employees"/>
    <x v="0"/>
    <x v="3"/>
    <x v="591"/>
    <n v="819"/>
    <x v="0"/>
    <x v="0"/>
    <x v="0"/>
    <s v="No"/>
    <s v="Y"/>
    <n v="3"/>
    <n v="-2"/>
    <n v="0"/>
    <x v="3"/>
    <x v="0"/>
    <x v="0"/>
    <n v="1"/>
    <n v="0"/>
    <n v="118"/>
    <n v="16"/>
    <x v="3"/>
    <x v="0"/>
    <n v="1"/>
    <n v="69"/>
    <n v="3"/>
    <n v="2"/>
    <n v="2"/>
    <x v="567"/>
    <n v="26507"/>
    <n v="5"/>
    <n v="15"/>
    <n v="3"/>
    <n v="3"/>
    <n v="80"/>
    <n v="0"/>
    <n v="6"/>
    <n v="3"/>
    <n v="3"/>
    <n v="2"/>
    <n v="0"/>
    <n v="2"/>
  </r>
  <r>
    <x v="1"/>
    <s v="Travel_Rarely"/>
    <x v="1"/>
    <s v="Current Employees"/>
    <x v="1"/>
    <x v="1"/>
    <x v="592"/>
    <n v="820"/>
    <x v="0"/>
    <x v="5"/>
    <x v="1"/>
    <s v="Yes"/>
    <s v="Y"/>
    <n v="3"/>
    <n v="-2"/>
    <n v="0"/>
    <x v="40"/>
    <x v="1"/>
    <x v="1"/>
    <n v="0"/>
    <n v="1"/>
    <n v="202"/>
    <n v="2"/>
    <x v="0"/>
    <x v="0"/>
    <n v="3"/>
    <n v="33"/>
    <n v="3"/>
    <n v="4"/>
    <n v="4"/>
    <x v="568"/>
    <n v="12982"/>
    <n v="1"/>
    <n v="11"/>
    <n v="3"/>
    <n v="3"/>
    <n v="80"/>
    <n v="1"/>
    <n v="26"/>
    <n v="2"/>
    <n v="26"/>
    <n v="14"/>
    <n v="3"/>
    <n v="0"/>
  </r>
  <r>
    <x v="1"/>
    <s v="Travel_Rarely"/>
    <x v="0"/>
    <s v="Current Employees"/>
    <x v="1"/>
    <x v="1"/>
    <x v="593"/>
    <n v="823"/>
    <x v="0"/>
    <x v="3"/>
    <x v="1"/>
    <s v="No"/>
    <s v="Y"/>
    <n v="2"/>
    <n v="-2"/>
    <n v="0"/>
    <x v="9"/>
    <x v="1"/>
    <x v="1"/>
    <n v="0"/>
    <n v="1"/>
    <n v="676"/>
    <n v="1"/>
    <x v="3"/>
    <x v="0"/>
    <n v="3"/>
    <n v="35"/>
    <n v="3"/>
    <n v="2"/>
    <n v="3"/>
    <x v="311"/>
    <n v="23361"/>
    <n v="0"/>
    <n v="15"/>
    <n v="3"/>
    <n v="1"/>
    <n v="80"/>
    <n v="1"/>
    <n v="10"/>
    <n v="3"/>
    <n v="9"/>
    <n v="7"/>
    <n v="0"/>
    <n v="5"/>
  </r>
  <r>
    <x v="1"/>
    <s v="Travel_Rarely"/>
    <x v="2"/>
    <s v="Current Employees"/>
    <x v="1"/>
    <x v="0"/>
    <x v="594"/>
    <n v="824"/>
    <x v="1"/>
    <x v="1"/>
    <x v="1"/>
    <s v="No"/>
    <s v="Y"/>
    <n v="3"/>
    <n v="-2"/>
    <n v="0"/>
    <x v="11"/>
    <x v="1"/>
    <x v="1"/>
    <n v="0"/>
    <n v="1"/>
    <n v="1252"/>
    <n v="23"/>
    <x v="0"/>
    <x v="0"/>
    <n v="3"/>
    <n v="81"/>
    <n v="4"/>
    <n v="1"/>
    <n v="1"/>
    <x v="569"/>
    <n v="23779"/>
    <n v="1"/>
    <n v="24"/>
    <n v="4"/>
    <n v="3"/>
    <n v="80"/>
    <n v="1"/>
    <n v="10"/>
    <n v="3"/>
    <n v="10"/>
    <n v="7"/>
    <n v="0"/>
    <n v="7"/>
  </r>
  <r>
    <x v="0"/>
    <s v="Travel_Rarely"/>
    <x v="3"/>
    <s v="Ex-Employees"/>
    <x v="1"/>
    <x v="0"/>
    <x v="595"/>
    <n v="825"/>
    <x v="1"/>
    <x v="7"/>
    <x v="0"/>
    <s v="Yes"/>
    <s v="Y"/>
    <n v="2"/>
    <n v="-2"/>
    <n v="0"/>
    <x v="34"/>
    <x v="0"/>
    <x v="0"/>
    <n v="1"/>
    <n v="0"/>
    <n v="286"/>
    <n v="2"/>
    <x v="2"/>
    <x v="0"/>
    <n v="4"/>
    <n v="31"/>
    <n v="3"/>
    <n v="5"/>
    <n v="1"/>
    <x v="570"/>
    <n v="25761"/>
    <n v="7"/>
    <n v="12"/>
    <n v="3"/>
    <n v="4"/>
    <n v="80"/>
    <n v="0"/>
    <n v="40"/>
    <n v="3"/>
    <n v="31"/>
    <n v="15"/>
    <n v="13"/>
    <n v="8"/>
  </r>
  <r>
    <x v="1"/>
    <s v="Travel_Rarely"/>
    <x v="0"/>
    <s v="Current Employees"/>
    <x v="1"/>
    <x v="0"/>
    <x v="596"/>
    <n v="826"/>
    <x v="0"/>
    <x v="1"/>
    <x v="0"/>
    <s v="No"/>
    <s v="Y"/>
    <n v="0"/>
    <n v="-2"/>
    <n v="0"/>
    <x v="10"/>
    <x v="1"/>
    <x v="1"/>
    <n v="0"/>
    <n v="1"/>
    <n v="1258"/>
    <n v="1"/>
    <x v="2"/>
    <x v="0"/>
    <n v="4"/>
    <n v="40"/>
    <n v="4"/>
    <n v="1"/>
    <n v="1"/>
    <x v="571"/>
    <n v="13301"/>
    <n v="3"/>
    <n v="13"/>
    <n v="3"/>
    <n v="3"/>
    <n v="80"/>
    <n v="0"/>
    <n v="7"/>
    <n v="3"/>
    <n v="2"/>
    <n v="2"/>
    <n v="2"/>
    <n v="2"/>
  </r>
  <r>
    <x v="1"/>
    <s v="Travel_Rarely"/>
    <x v="0"/>
    <s v="Current Employees"/>
    <x v="1"/>
    <x v="0"/>
    <x v="597"/>
    <n v="827"/>
    <x v="0"/>
    <x v="3"/>
    <x v="1"/>
    <s v="Yes"/>
    <s v="Y"/>
    <n v="4"/>
    <n v="-2"/>
    <n v="0"/>
    <x v="19"/>
    <x v="1"/>
    <x v="1"/>
    <n v="0"/>
    <n v="1"/>
    <n v="932"/>
    <n v="1"/>
    <x v="0"/>
    <x v="0"/>
    <n v="4"/>
    <n v="43"/>
    <n v="2"/>
    <n v="2"/>
    <n v="1"/>
    <x v="572"/>
    <n v="4051"/>
    <n v="9"/>
    <n v="13"/>
    <n v="3"/>
    <n v="4"/>
    <n v="80"/>
    <n v="1"/>
    <n v="8"/>
    <n v="3"/>
    <n v="4"/>
    <n v="3"/>
    <n v="0"/>
    <n v="2"/>
  </r>
  <r>
    <x v="0"/>
    <s v="Travel_Rarely"/>
    <x v="2"/>
    <s v="Ex-Employees"/>
    <x v="1"/>
    <x v="2"/>
    <x v="598"/>
    <n v="828"/>
    <x v="1"/>
    <x v="1"/>
    <x v="0"/>
    <s v="No"/>
    <s v="Y"/>
    <n v="3"/>
    <n v="-2"/>
    <n v="0"/>
    <x v="14"/>
    <x v="0"/>
    <x v="0"/>
    <n v="1"/>
    <n v="0"/>
    <n v="890"/>
    <n v="2"/>
    <x v="2"/>
    <x v="0"/>
    <n v="3"/>
    <n v="46"/>
    <n v="3"/>
    <n v="1"/>
    <n v="3"/>
    <x v="573"/>
    <n v="16374"/>
    <n v="6"/>
    <n v="17"/>
    <n v="3"/>
    <n v="4"/>
    <n v="80"/>
    <n v="0"/>
    <n v="5"/>
    <n v="2"/>
    <n v="2"/>
    <n v="2"/>
    <n v="2"/>
    <n v="1"/>
  </r>
  <r>
    <x v="1"/>
    <s v="Travel_Rarely"/>
    <x v="0"/>
    <s v="Current Employees"/>
    <x v="2"/>
    <x v="5"/>
    <x v="599"/>
    <n v="829"/>
    <x v="1"/>
    <x v="8"/>
    <x v="1"/>
    <s v="No"/>
    <s v="Y"/>
    <n v="2"/>
    <n v="-2"/>
    <n v="0"/>
    <x v="9"/>
    <x v="1"/>
    <x v="1"/>
    <n v="0"/>
    <n v="1"/>
    <n v="1041"/>
    <n v="13"/>
    <x v="3"/>
    <x v="0"/>
    <n v="3"/>
    <n v="36"/>
    <n v="3"/>
    <n v="1"/>
    <n v="3"/>
    <x v="574"/>
    <n v="25527"/>
    <n v="4"/>
    <n v="13"/>
    <n v="3"/>
    <n v="2"/>
    <n v="80"/>
    <n v="1"/>
    <n v="8"/>
    <n v="3"/>
    <n v="5"/>
    <n v="2"/>
    <n v="0"/>
    <n v="4"/>
  </r>
  <r>
    <x v="1"/>
    <s v="Travel_Rarely"/>
    <x v="2"/>
    <s v="Current Employees"/>
    <x v="1"/>
    <x v="0"/>
    <x v="600"/>
    <n v="830"/>
    <x v="0"/>
    <x v="3"/>
    <x v="1"/>
    <s v="No"/>
    <s v="Y"/>
    <n v="3"/>
    <n v="-2"/>
    <n v="0"/>
    <x v="5"/>
    <x v="1"/>
    <x v="1"/>
    <n v="0"/>
    <n v="1"/>
    <n v="859"/>
    <n v="4"/>
    <x v="3"/>
    <x v="0"/>
    <n v="3"/>
    <n v="98"/>
    <n v="2"/>
    <n v="2"/>
    <n v="1"/>
    <x v="57"/>
    <n v="19124"/>
    <n v="1"/>
    <n v="12"/>
    <n v="3"/>
    <n v="3"/>
    <n v="80"/>
    <n v="1"/>
    <n v="14"/>
    <n v="3"/>
    <n v="14"/>
    <n v="13"/>
    <n v="6"/>
    <n v="8"/>
  </r>
  <r>
    <x v="1"/>
    <s v="Travel_Frequently"/>
    <x v="0"/>
    <s v="Current Employees"/>
    <x v="1"/>
    <x v="2"/>
    <x v="601"/>
    <n v="832"/>
    <x v="1"/>
    <x v="2"/>
    <x v="0"/>
    <s v="No"/>
    <s v="Y"/>
    <n v="6"/>
    <n v="-2"/>
    <n v="0"/>
    <x v="32"/>
    <x v="1"/>
    <x v="1"/>
    <n v="0"/>
    <n v="1"/>
    <n v="720"/>
    <n v="16"/>
    <x v="2"/>
    <x v="0"/>
    <n v="1"/>
    <n v="51"/>
    <n v="2"/>
    <n v="2"/>
    <n v="3"/>
    <x v="575"/>
    <n v="11983"/>
    <n v="6"/>
    <n v="14"/>
    <n v="3"/>
    <n v="4"/>
    <n v="80"/>
    <n v="0"/>
    <n v="10"/>
    <n v="3"/>
    <n v="1"/>
    <n v="0"/>
    <n v="0"/>
    <n v="0"/>
  </r>
  <r>
    <x v="1"/>
    <s v="Travel_Rarely"/>
    <x v="2"/>
    <s v="Current Employees"/>
    <x v="1"/>
    <x v="2"/>
    <x v="602"/>
    <n v="833"/>
    <x v="0"/>
    <x v="3"/>
    <x v="0"/>
    <s v="Yes"/>
    <s v="Y"/>
    <n v="4"/>
    <n v="-2"/>
    <n v="0"/>
    <x v="7"/>
    <x v="1"/>
    <x v="1"/>
    <n v="0"/>
    <n v="1"/>
    <n v="946"/>
    <n v="2"/>
    <x v="3"/>
    <x v="0"/>
    <n v="3"/>
    <n v="52"/>
    <n v="2"/>
    <n v="2"/>
    <n v="4"/>
    <x v="576"/>
    <n v="20234"/>
    <n v="5"/>
    <n v="24"/>
    <n v="4"/>
    <n v="2"/>
    <n v="80"/>
    <n v="0"/>
    <n v="12"/>
    <n v="2"/>
    <n v="0"/>
    <n v="0"/>
    <n v="0"/>
    <n v="0"/>
  </r>
  <r>
    <x v="1"/>
    <s v="Travel_Rarely"/>
    <x v="1"/>
    <s v="Current Employees"/>
    <x v="1"/>
    <x v="0"/>
    <x v="603"/>
    <n v="834"/>
    <x v="0"/>
    <x v="1"/>
    <x v="0"/>
    <s v="No"/>
    <s v="Y"/>
    <n v="3"/>
    <n v="-2"/>
    <n v="0"/>
    <x v="28"/>
    <x v="1"/>
    <x v="1"/>
    <n v="0"/>
    <n v="1"/>
    <n v="252"/>
    <n v="2"/>
    <x v="3"/>
    <x v="0"/>
    <n v="2"/>
    <n v="95"/>
    <n v="2"/>
    <n v="1"/>
    <n v="1"/>
    <x v="577"/>
    <n v="6153"/>
    <n v="1"/>
    <n v="14"/>
    <n v="3"/>
    <n v="4"/>
    <n v="80"/>
    <n v="0"/>
    <n v="1"/>
    <n v="3"/>
    <n v="1"/>
    <n v="0"/>
    <n v="0"/>
    <n v="0"/>
  </r>
  <r>
    <x v="1"/>
    <s v="Travel_Rarely"/>
    <x v="0"/>
    <s v="Current Employees"/>
    <x v="1"/>
    <x v="0"/>
    <x v="604"/>
    <n v="836"/>
    <x v="1"/>
    <x v="3"/>
    <x v="1"/>
    <s v="No"/>
    <s v="Y"/>
    <n v="3"/>
    <n v="-2"/>
    <n v="0"/>
    <x v="19"/>
    <x v="1"/>
    <x v="1"/>
    <n v="0"/>
    <n v="1"/>
    <n v="933"/>
    <n v="29"/>
    <x v="3"/>
    <x v="0"/>
    <n v="2"/>
    <n v="98"/>
    <n v="3"/>
    <n v="2"/>
    <n v="1"/>
    <x v="578"/>
    <n v="11806"/>
    <n v="1"/>
    <n v="13"/>
    <n v="3"/>
    <n v="4"/>
    <n v="80"/>
    <n v="1"/>
    <n v="10"/>
    <n v="2"/>
    <n v="9"/>
    <n v="8"/>
    <n v="7"/>
    <n v="8"/>
  </r>
  <r>
    <x v="1"/>
    <s v="Travel_Frequently"/>
    <x v="0"/>
    <s v="Current Employees"/>
    <x v="1"/>
    <x v="0"/>
    <x v="605"/>
    <n v="837"/>
    <x v="1"/>
    <x v="4"/>
    <x v="2"/>
    <s v="No"/>
    <s v="Y"/>
    <n v="3"/>
    <n v="-2"/>
    <n v="0"/>
    <x v="8"/>
    <x v="1"/>
    <x v="1"/>
    <n v="0"/>
    <n v="1"/>
    <n v="471"/>
    <n v="12"/>
    <x v="3"/>
    <x v="0"/>
    <n v="1"/>
    <n v="45"/>
    <n v="2"/>
    <n v="2"/>
    <n v="1"/>
    <x v="579"/>
    <n v="4284"/>
    <n v="2"/>
    <n v="15"/>
    <n v="3"/>
    <n v="3"/>
    <n v="80"/>
    <n v="1"/>
    <n v="13"/>
    <n v="2"/>
    <n v="4"/>
    <n v="3"/>
    <n v="1"/>
    <n v="2"/>
  </r>
  <r>
    <x v="1"/>
    <s v="Travel_Frequently"/>
    <x v="2"/>
    <s v="Current Employees"/>
    <x v="1"/>
    <x v="0"/>
    <x v="606"/>
    <n v="838"/>
    <x v="0"/>
    <x v="1"/>
    <x v="0"/>
    <s v="No"/>
    <s v="Y"/>
    <n v="3"/>
    <n v="-2"/>
    <n v="0"/>
    <x v="13"/>
    <x v="1"/>
    <x v="1"/>
    <n v="0"/>
    <n v="1"/>
    <n v="702"/>
    <n v="16"/>
    <x v="2"/>
    <x v="0"/>
    <n v="3"/>
    <n v="100"/>
    <n v="2"/>
    <n v="1"/>
    <n v="1"/>
    <x v="580"/>
    <n v="8306"/>
    <n v="1"/>
    <n v="16"/>
    <n v="3"/>
    <n v="3"/>
    <n v="80"/>
    <n v="0"/>
    <n v="6"/>
    <n v="3"/>
    <n v="5"/>
    <n v="2"/>
    <n v="1"/>
    <n v="3"/>
  </r>
  <r>
    <x v="0"/>
    <s v="Travel_Rarely"/>
    <x v="1"/>
    <s v="Ex-Employees"/>
    <x v="0"/>
    <x v="3"/>
    <x v="607"/>
    <n v="840"/>
    <x v="0"/>
    <x v="0"/>
    <x v="1"/>
    <s v="No"/>
    <s v="Y"/>
    <n v="3"/>
    <n v="-2"/>
    <n v="0"/>
    <x v="1"/>
    <x v="0"/>
    <x v="0"/>
    <n v="1"/>
    <n v="0"/>
    <n v="1184"/>
    <n v="11"/>
    <x v="3"/>
    <x v="0"/>
    <n v="3"/>
    <n v="43"/>
    <n v="3"/>
    <n v="3"/>
    <n v="2"/>
    <x v="581"/>
    <n v="5860"/>
    <n v="1"/>
    <n v="18"/>
    <n v="3"/>
    <n v="1"/>
    <n v="80"/>
    <n v="2"/>
    <n v="9"/>
    <n v="4"/>
    <n v="9"/>
    <n v="8"/>
    <n v="7"/>
    <n v="7"/>
  </r>
  <r>
    <x v="0"/>
    <s v="Travel_Rarely"/>
    <x v="3"/>
    <s v="Ex-Employees"/>
    <x v="0"/>
    <x v="2"/>
    <x v="608"/>
    <n v="842"/>
    <x v="1"/>
    <x v="0"/>
    <x v="0"/>
    <s v="No"/>
    <s v="Y"/>
    <n v="3"/>
    <n v="-2"/>
    <n v="0"/>
    <x v="27"/>
    <x v="0"/>
    <x v="0"/>
    <n v="1"/>
    <n v="0"/>
    <n v="436"/>
    <n v="2"/>
    <x v="1"/>
    <x v="0"/>
    <n v="3"/>
    <n v="37"/>
    <n v="3"/>
    <n v="2"/>
    <n v="4"/>
    <x v="582"/>
    <n v="21519"/>
    <n v="4"/>
    <n v="16"/>
    <n v="3"/>
    <n v="3"/>
    <n v="80"/>
    <n v="0"/>
    <n v="12"/>
    <n v="2"/>
    <n v="9"/>
    <n v="7"/>
    <n v="7"/>
    <n v="3"/>
  </r>
  <r>
    <x v="1"/>
    <s v="Travel_Rarely"/>
    <x v="0"/>
    <s v="Current Employees"/>
    <x v="1"/>
    <x v="0"/>
    <x v="609"/>
    <n v="843"/>
    <x v="1"/>
    <x v="7"/>
    <x v="1"/>
    <s v="No"/>
    <s v="Y"/>
    <n v="3"/>
    <n v="-2"/>
    <n v="0"/>
    <x v="23"/>
    <x v="1"/>
    <x v="1"/>
    <n v="0"/>
    <n v="1"/>
    <n v="589"/>
    <n v="14"/>
    <x v="0"/>
    <x v="0"/>
    <n v="2"/>
    <n v="94"/>
    <n v="3"/>
    <n v="4"/>
    <n v="1"/>
    <x v="583"/>
    <n v="5200"/>
    <n v="6"/>
    <n v="24"/>
    <n v="4"/>
    <n v="3"/>
    <n v="80"/>
    <n v="1"/>
    <n v="22"/>
    <n v="3"/>
    <n v="4"/>
    <n v="1"/>
    <n v="1"/>
    <n v="0"/>
  </r>
  <r>
    <x v="1"/>
    <s v="Travel_Rarely"/>
    <x v="2"/>
    <s v="Current Employees"/>
    <x v="1"/>
    <x v="4"/>
    <x v="610"/>
    <n v="844"/>
    <x v="1"/>
    <x v="7"/>
    <x v="2"/>
    <s v="Yes"/>
    <s v="Y"/>
    <n v="3"/>
    <n v="-2"/>
    <n v="0"/>
    <x v="4"/>
    <x v="1"/>
    <x v="1"/>
    <n v="0"/>
    <n v="1"/>
    <n v="269"/>
    <n v="5"/>
    <x v="1"/>
    <x v="0"/>
    <n v="4"/>
    <n v="42"/>
    <n v="2"/>
    <n v="3"/>
    <n v="4"/>
    <x v="584"/>
    <n v="8842"/>
    <n v="1"/>
    <n v="16"/>
    <n v="3"/>
    <n v="2"/>
    <n v="80"/>
    <n v="1"/>
    <n v="9"/>
    <n v="3"/>
    <n v="9"/>
    <n v="8"/>
    <n v="0"/>
    <n v="8"/>
  </r>
  <r>
    <x v="1"/>
    <s v="Travel_Rarely"/>
    <x v="0"/>
    <s v="Current Employees"/>
    <x v="1"/>
    <x v="1"/>
    <x v="611"/>
    <n v="845"/>
    <x v="1"/>
    <x v="3"/>
    <x v="0"/>
    <s v="No"/>
    <s v="Y"/>
    <n v="3"/>
    <n v="-2"/>
    <n v="0"/>
    <x v="10"/>
    <x v="1"/>
    <x v="1"/>
    <n v="0"/>
    <n v="1"/>
    <n v="950"/>
    <n v="7"/>
    <x v="3"/>
    <x v="0"/>
    <n v="3"/>
    <n v="59"/>
    <n v="3"/>
    <n v="3"/>
    <n v="3"/>
    <x v="585"/>
    <n v="18869"/>
    <n v="3"/>
    <n v="21"/>
    <n v="4"/>
    <n v="2"/>
    <n v="80"/>
    <n v="0"/>
    <n v="17"/>
    <n v="4"/>
    <n v="8"/>
    <n v="5"/>
    <n v="1"/>
    <n v="6"/>
  </r>
  <r>
    <x v="1"/>
    <s v="Travel_Rarely"/>
    <x v="2"/>
    <s v="Current Employees"/>
    <x v="0"/>
    <x v="3"/>
    <x v="612"/>
    <n v="846"/>
    <x v="0"/>
    <x v="0"/>
    <x v="1"/>
    <s v="Yes"/>
    <s v="Y"/>
    <n v="2"/>
    <n v="-2"/>
    <n v="0"/>
    <x v="14"/>
    <x v="1"/>
    <x v="1"/>
    <n v="0"/>
    <n v="1"/>
    <n v="760"/>
    <n v="2"/>
    <x v="2"/>
    <x v="0"/>
    <n v="2"/>
    <n v="81"/>
    <n v="3"/>
    <n v="2"/>
    <n v="2"/>
    <x v="586"/>
    <n v="3698"/>
    <n v="1"/>
    <n v="20"/>
    <n v="4"/>
    <n v="1"/>
    <n v="80"/>
    <n v="0"/>
    <n v="8"/>
    <n v="3"/>
    <n v="8"/>
    <n v="7"/>
    <n v="7"/>
    <n v="5"/>
  </r>
  <r>
    <x v="1"/>
    <s v="Travel_Rarely"/>
    <x v="2"/>
    <s v="Current Employees"/>
    <x v="2"/>
    <x v="5"/>
    <x v="613"/>
    <n v="847"/>
    <x v="1"/>
    <x v="8"/>
    <x v="1"/>
    <s v="No"/>
    <s v="Y"/>
    <n v="1"/>
    <n v="-2"/>
    <n v="0"/>
    <x v="13"/>
    <x v="1"/>
    <x v="1"/>
    <n v="0"/>
    <n v="1"/>
    <n v="829"/>
    <n v="3"/>
    <x v="0"/>
    <x v="0"/>
    <n v="3"/>
    <n v="88"/>
    <n v="3"/>
    <n v="1"/>
    <n v="4"/>
    <x v="587"/>
    <n v="2243"/>
    <n v="0"/>
    <n v="19"/>
    <n v="3"/>
    <n v="3"/>
    <n v="80"/>
    <n v="1"/>
    <n v="4"/>
    <n v="1"/>
    <n v="3"/>
    <n v="2"/>
    <n v="0"/>
    <n v="2"/>
  </r>
  <r>
    <x v="0"/>
    <s v="Travel_Frequently"/>
    <x v="2"/>
    <s v="Ex-Employees"/>
    <x v="1"/>
    <x v="2"/>
    <x v="614"/>
    <n v="848"/>
    <x v="0"/>
    <x v="1"/>
    <x v="1"/>
    <s v="Yes"/>
    <s v="Y"/>
    <n v="2"/>
    <n v="-2"/>
    <n v="0"/>
    <x v="25"/>
    <x v="0"/>
    <x v="0"/>
    <n v="1"/>
    <n v="0"/>
    <n v="887"/>
    <n v="5"/>
    <x v="0"/>
    <x v="0"/>
    <n v="3"/>
    <n v="88"/>
    <n v="2"/>
    <n v="1"/>
    <n v="3"/>
    <x v="588"/>
    <n v="20898"/>
    <n v="1"/>
    <n v="14"/>
    <n v="3"/>
    <n v="1"/>
    <n v="80"/>
    <n v="1"/>
    <n v="8"/>
    <n v="3"/>
    <n v="8"/>
    <n v="7"/>
    <n v="1"/>
    <n v="7"/>
  </r>
  <r>
    <x v="1"/>
    <s v="Non-Travel"/>
    <x v="2"/>
    <s v="Current Employees"/>
    <x v="1"/>
    <x v="2"/>
    <x v="615"/>
    <n v="850"/>
    <x v="1"/>
    <x v="1"/>
    <x v="1"/>
    <s v="No"/>
    <s v="Y"/>
    <n v="6"/>
    <n v="-2"/>
    <n v="0"/>
    <x v="4"/>
    <x v="1"/>
    <x v="1"/>
    <n v="0"/>
    <n v="1"/>
    <n v="443"/>
    <n v="3"/>
    <x v="3"/>
    <x v="0"/>
    <n v="4"/>
    <n v="50"/>
    <n v="3"/>
    <n v="1"/>
    <n v="4"/>
    <x v="589"/>
    <n v="16571"/>
    <n v="1"/>
    <n v="11"/>
    <n v="3"/>
    <n v="3"/>
    <n v="80"/>
    <n v="3"/>
    <n v="0"/>
    <n v="2"/>
    <n v="0"/>
    <n v="0"/>
    <n v="0"/>
    <n v="0"/>
  </r>
  <r>
    <x v="1"/>
    <s v="Travel_Rarely"/>
    <x v="1"/>
    <s v="Current Employees"/>
    <x v="0"/>
    <x v="3"/>
    <x v="616"/>
    <n v="851"/>
    <x v="0"/>
    <x v="5"/>
    <x v="1"/>
    <s v="No"/>
    <s v="Y"/>
    <n v="2"/>
    <n v="-2"/>
    <n v="0"/>
    <x v="31"/>
    <x v="1"/>
    <x v="1"/>
    <n v="0"/>
    <n v="1"/>
    <n v="1318"/>
    <n v="26"/>
    <x v="2"/>
    <x v="0"/>
    <n v="1"/>
    <n v="66"/>
    <n v="3"/>
    <n v="4"/>
    <n v="2"/>
    <x v="590"/>
    <n v="5594"/>
    <n v="2"/>
    <n v="14"/>
    <n v="3"/>
    <n v="3"/>
    <n v="80"/>
    <n v="1"/>
    <n v="29"/>
    <n v="2"/>
    <n v="20"/>
    <n v="6"/>
    <n v="4"/>
    <n v="17"/>
  </r>
  <r>
    <x v="1"/>
    <s v="Travel_Rarely"/>
    <x v="0"/>
    <s v="Current Employees"/>
    <x v="1"/>
    <x v="2"/>
    <x v="617"/>
    <n v="852"/>
    <x v="1"/>
    <x v="4"/>
    <x v="0"/>
    <s v="No"/>
    <s v="Y"/>
    <n v="2"/>
    <n v="-2"/>
    <n v="0"/>
    <x v="20"/>
    <x v="1"/>
    <x v="1"/>
    <n v="0"/>
    <n v="1"/>
    <n v="625"/>
    <n v="4"/>
    <x v="3"/>
    <x v="0"/>
    <n v="4"/>
    <n v="50"/>
    <n v="3"/>
    <n v="2"/>
    <n v="3"/>
    <x v="591"/>
    <n v="5197"/>
    <n v="9"/>
    <n v="12"/>
    <n v="3"/>
    <n v="4"/>
    <n v="80"/>
    <n v="0"/>
    <n v="10"/>
    <n v="2"/>
    <n v="5"/>
    <n v="2"/>
    <n v="2"/>
    <n v="3"/>
  </r>
  <r>
    <x v="1"/>
    <s v="Travel_Rarely"/>
    <x v="2"/>
    <s v="Current Employees"/>
    <x v="1"/>
    <x v="2"/>
    <x v="618"/>
    <n v="854"/>
    <x v="1"/>
    <x v="1"/>
    <x v="0"/>
    <s v="No"/>
    <s v="Y"/>
    <n v="3"/>
    <n v="-2"/>
    <n v="0"/>
    <x v="36"/>
    <x v="1"/>
    <x v="1"/>
    <n v="0"/>
    <n v="1"/>
    <n v="180"/>
    <n v="2"/>
    <x v="1"/>
    <x v="0"/>
    <n v="1"/>
    <n v="65"/>
    <n v="4"/>
    <n v="1"/>
    <n v="3"/>
    <x v="592"/>
    <n v="21632"/>
    <n v="7"/>
    <n v="13"/>
    <n v="3"/>
    <n v="3"/>
    <n v="80"/>
    <n v="0"/>
    <n v="6"/>
    <n v="2"/>
    <n v="4"/>
    <n v="3"/>
    <n v="0"/>
    <n v="1"/>
  </r>
  <r>
    <x v="1"/>
    <s v="Travel_Rarely"/>
    <x v="2"/>
    <s v="Current Employees"/>
    <x v="0"/>
    <x v="2"/>
    <x v="619"/>
    <n v="855"/>
    <x v="1"/>
    <x v="0"/>
    <x v="2"/>
    <s v="No"/>
    <s v="Y"/>
    <n v="5"/>
    <n v="-2"/>
    <n v="0"/>
    <x v="3"/>
    <x v="1"/>
    <x v="1"/>
    <n v="0"/>
    <n v="1"/>
    <n v="586"/>
    <n v="1"/>
    <x v="3"/>
    <x v="0"/>
    <n v="1"/>
    <n v="48"/>
    <n v="4"/>
    <n v="2"/>
    <n v="3"/>
    <x v="593"/>
    <n v="21816"/>
    <n v="1"/>
    <n v="22"/>
    <n v="4"/>
    <n v="1"/>
    <n v="80"/>
    <n v="1"/>
    <n v="9"/>
    <n v="3"/>
    <n v="9"/>
    <n v="8"/>
    <n v="0"/>
    <n v="8"/>
  </r>
  <r>
    <x v="1"/>
    <s v="Travel_Rarely"/>
    <x v="0"/>
    <s v="Current Employees"/>
    <x v="1"/>
    <x v="2"/>
    <x v="620"/>
    <n v="856"/>
    <x v="0"/>
    <x v="1"/>
    <x v="0"/>
    <s v="No"/>
    <s v="Y"/>
    <n v="3"/>
    <n v="-2"/>
    <n v="0"/>
    <x v="10"/>
    <x v="1"/>
    <x v="1"/>
    <n v="0"/>
    <n v="1"/>
    <n v="1343"/>
    <n v="27"/>
    <x v="1"/>
    <x v="0"/>
    <n v="3"/>
    <n v="53"/>
    <n v="2"/>
    <n v="1"/>
    <n v="3"/>
    <x v="594"/>
    <n v="17852"/>
    <n v="1"/>
    <n v="11"/>
    <n v="3"/>
    <n v="4"/>
    <n v="80"/>
    <n v="0"/>
    <n v="6"/>
    <n v="2"/>
    <n v="6"/>
    <n v="5"/>
    <n v="1"/>
    <n v="1"/>
  </r>
  <r>
    <x v="1"/>
    <s v="Travel_Rarely"/>
    <x v="0"/>
    <s v="Current Employees"/>
    <x v="0"/>
    <x v="0"/>
    <x v="621"/>
    <n v="857"/>
    <x v="1"/>
    <x v="0"/>
    <x v="1"/>
    <s v="Yes"/>
    <s v="Y"/>
    <n v="1"/>
    <n v="-2"/>
    <n v="0"/>
    <x v="9"/>
    <x v="1"/>
    <x v="1"/>
    <n v="0"/>
    <n v="1"/>
    <n v="928"/>
    <n v="1"/>
    <x v="0"/>
    <x v="0"/>
    <n v="2"/>
    <n v="56"/>
    <n v="3"/>
    <n v="2"/>
    <n v="1"/>
    <x v="595"/>
    <n v="2823"/>
    <n v="1"/>
    <n v="14"/>
    <n v="3"/>
    <n v="4"/>
    <n v="80"/>
    <n v="1"/>
    <n v="18"/>
    <n v="2"/>
    <n v="18"/>
    <n v="14"/>
    <n v="4"/>
    <n v="11"/>
  </r>
  <r>
    <x v="1"/>
    <s v="Travel_Rarely"/>
    <x v="2"/>
    <s v="Current Employees"/>
    <x v="0"/>
    <x v="0"/>
    <x v="622"/>
    <n v="859"/>
    <x v="1"/>
    <x v="0"/>
    <x v="2"/>
    <s v="No"/>
    <s v="Y"/>
    <n v="3"/>
    <n v="-2"/>
    <n v="0"/>
    <x v="5"/>
    <x v="1"/>
    <x v="1"/>
    <n v="0"/>
    <n v="1"/>
    <n v="117"/>
    <n v="13"/>
    <x v="2"/>
    <x v="0"/>
    <n v="2"/>
    <n v="73"/>
    <n v="3"/>
    <n v="2"/>
    <n v="1"/>
    <x v="596"/>
    <n v="9250"/>
    <n v="2"/>
    <n v="11"/>
    <n v="3"/>
    <n v="3"/>
    <n v="80"/>
    <n v="1"/>
    <n v="8"/>
    <n v="2"/>
    <n v="5"/>
    <n v="2"/>
    <n v="0"/>
    <n v="3"/>
  </r>
  <r>
    <x v="1"/>
    <s v="Travel_Frequently"/>
    <x v="2"/>
    <s v="Current Employees"/>
    <x v="1"/>
    <x v="0"/>
    <x v="623"/>
    <n v="861"/>
    <x v="1"/>
    <x v="1"/>
    <x v="2"/>
    <s v="No"/>
    <s v="Y"/>
    <n v="3"/>
    <n v="-2"/>
    <n v="0"/>
    <x v="7"/>
    <x v="1"/>
    <x v="1"/>
    <n v="0"/>
    <n v="1"/>
    <n v="1012"/>
    <n v="5"/>
    <x v="2"/>
    <x v="0"/>
    <n v="2"/>
    <n v="75"/>
    <n v="2"/>
    <n v="1"/>
    <n v="1"/>
    <x v="597"/>
    <n v="2373"/>
    <n v="9"/>
    <n v="12"/>
    <n v="3"/>
    <n v="2"/>
    <n v="80"/>
    <n v="1"/>
    <n v="10"/>
    <n v="2"/>
    <n v="5"/>
    <n v="4"/>
    <n v="0"/>
    <n v="3"/>
  </r>
  <r>
    <x v="1"/>
    <s v="Travel_Rarely"/>
    <x v="1"/>
    <s v="Current Employees"/>
    <x v="0"/>
    <x v="3"/>
    <x v="624"/>
    <n v="862"/>
    <x v="0"/>
    <x v="0"/>
    <x v="1"/>
    <s v="Yes"/>
    <s v="Y"/>
    <n v="3"/>
    <n v="-2"/>
    <n v="0"/>
    <x v="16"/>
    <x v="1"/>
    <x v="1"/>
    <n v="0"/>
    <n v="1"/>
    <n v="661"/>
    <n v="7"/>
    <x v="0"/>
    <x v="0"/>
    <n v="1"/>
    <n v="78"/>
    <n v="2"/>
    <n v="3"/>
    <n v="2"/>
    <x v="598"/>
    <n v="20715"/>
    <n v="7"/>
    <n v="18"/>
    <n v="3"/>
    <n v="4"/>
    <n v="80"/>
    <n v="1"/>
    <n v="35"/>
    <n v="3"/>
    <n v="5"/>
    <n v="2"/>
    <n v="0"/>
    <n v="4"/>
  </r>
  <r>
    <x v="1"/>
    <s v="Travel_Rarely"/>
    <x v="1"/>
    <s v="Current Employees"/>
    <x v="0"/>
    <x v="3"/>
    <x v="625"/>
    <n v="864"/>
    <x v="1"/>
    <x v="0"/>
    <x v="2"/>
    <s v="Yes"/>
    <s v="Y"/>
    <n v="2"/>
    <n v="-2"/>
    <n v="0"/>
    <x v="28"/>
    <x v="1"/>
    <x v="1"/>
    <n v="0"/>
    <n v="1"/>
    <n v="930"/>
    <n v="9"/>
    <x v="3"/>
    <x v="0"/>
    <n v="4"/>
    <n v="74"/>
    <n v="3"/>
    <n v="3"/>
    <n v="2"/>
    <x v="599"/>
    <n v="19239"/>
    <n v="4"/>
    <n v="12"/>
    <n v="3"/>
    <n v="3"/>
    <n v="80"/>
    <n v="1"/>
    <n v="18"/>
    <n v="3"/>
    <n v="5"/>
    <n v="4"/>
    <n v="0"/>
    <n v="2"/>
  </r>
  <r>
    <x v="1"/>
    <s v="Travel_Rarely"/>
    <x v="2"/>
    <s v="Current Employees"/>
    <x v="1"/>
    <x v="2"/>
    <x v="626"/>
    <n v="865"/>
    <x v="0"/>
    <x v="1"/>
    <x v="1"/>
    <s v="No"/>
    <s v="Y"/>
    <n v="3"/>
    <n v="-2"/>
    <n v="0"/>
    <x v="5"/>
    <x v="1"/>
    <x v="1"/>
    <n v="0"/>
    <n v="1"/>
    <n v="638"/>
    <n v="8"/>
    <x v="0"/>
    <x v="0"/>
    <n v="3"/>
    <n v="91"/>
    <n v="4"/>
    <n v="2"/>
    <n v="3"/>
    <x v="600"/>
    <n v="22162"/>
    <n v="5"/>
    <n v="12"/>
    <n v="3"/>
    <n v="3"/>
    <n v="80"/>
    <n v="1"/>
    <n v="9"/>
    <n v="2"/>
    <n v="5"/>
    <n v="3"/>
    <n v="1"/>
    <n v="3"/>
  </r>
  <r>
    <x v="1"/>
    <s v="Travel_Frequently"/>
    <x v="1"/>
    <s v="Current Employees"/>
    <x v="1"/>
    <x v="2"/>
    <x v="627"/>
    <n v="867"/>
    <x v="0"/>
    <x v="3"/>
    <x v="1"/>
    <s v="No"/>
    <s v="Y"/>
    <n v="3"/>
    <n v="-2"/>
    <n v="0"/>
    <x v="39"/>
    <x v="1"/>
    <x v="1"/>
    <n v="0"/>
    <n v="1"/>
    <n v="890"/>
    <n v="25"/>
    <x v="2"/>
    <x v="0"/>
    <n v="3"/>
    <n v="81"/>
    <n v="2"/>
    <n v="4"/>
    <n v="4"/>
    <x v="601"/>
    <n v="19028"/>
    <n v="3"/>
    <n v="22"/>
    <n v="4"/>
    <n v="3"/>
    <n v="80"/>
    <n v="0"/>
    <n v="31"/>
    <n v="3"/>
    <n v="9"/>
    <n v="8"/>
    <n v="0"/>
    <n v="0"/>
  </r>
  <r>
    <x v="1"/>
    <s v="Travel_Rarely"/>
    <x v="0"/>
    <s v="Current Employees"/>
    <x v="0"/>
    <x v="3"/>
    <x v="628"/>
    <n v="868"/>
    <x v="1"/>
    <x v="0"/>
    <x v="2"/>
    <s v="No"/>
    <s v="Y"/>
    <n v="2"/>
    <n v="-2"/>
    <n v="0"/>
    <x v="2"/>
    <x v="1"/>
    <x v="1"/>
    <n v="0"/>
    <n v="1"/>
    <n v="342"/>
    <n v="16"/>
    <x v="2"/>
    <x v="0"/>
    <n v="4"/>
    <n v="66"/>
    <n v="2"/>
    <n v="2"/>
    <n v="2"/>
    <x v="602"/>
    <n v="24558"/>
    <n v="4"/>
    <n v="19"/>
    <n v="3"/>
    <n v="4"/>
    <n v="80"/>
    <n v="2"/>
    <n v="9"/>
    <n v="3"/>
    <n v="1"/>
    <n v="0"/>
    <n v="0"/>
    <n v="0"/>
  </r>
  <r>
    <x v="1"/>
    <s v="Travel_Rarely"/>
    <x v="2"/>
    <s v="Current Employees"/>
    <x v="2"/>
    <x v="2"/>
    <x v="629"/>
    <n v="869"/>
    <x v="1"/>
    <x v="8"/>
    <x v="2"/>
    <s v="No"/>
    <s v="Y"/>
    <n v="6"/>
    <n v="-2"/>
    <n v="0"/>
    <x v="14"/>
    <x v="1"/>
    <x v="1"/>
    <n v="0"/>
    <n v="1"/>
    <n v="1169"/>
    <n v="8"/>
    <x v="0"/>
    <x v="0"/>
    <n v="2"/>
    <n v="63"/>
    <n v="2"/>
    <n v="1"/>
    <n v="4"/>
    <x v="365"/>
    <n v="23965"/>
    <n v="1"/>
    <n v="13"/>
    <n v="3"/>
    <n v="4"/>
    <n v="80"/>
    <n v="1"/>
    <n v="6"/>
    <n v="3"/>
    <n v="5"/>
    <n v="1"/>
    <n v="0"/>
    <n v="4"/>
  </r>
  <r>
    <x v="1"/>
    <s v="Travel_Rarely"/>
    <x v="4"/>
    <s v="Current Employees"/>
    <x v="1"/>
    <x v="0"/>
    <x v="630"/>
    <n v="872"/>
    <x v="1"/>
    <x v="3"/>
    <x v="1"/>
    <s v="No"/>
    <s v="Y"/>
    <n v="2"/>
    <n v="-2"/>
    <n v="0"/>
    <x v="15"/>
    <x v="1"/>
    <x v="1"/>
    <n v="0"/>
    <n v="1"/>
    <n v="1230"/>
    <n v="1"/>
    <x v="0"/>
    <x v="0"/>
    <n v="4"/>
    <n v="33"/>
    <n v="2"/>
    <n v="2"/>
    <n v="1"/>
    <x v="603"/>
    <n v="19146"/>
    <n v="6"/>
    <n v="22"/>
    <n v="4"/>
    <n v="1"/>
    <n v="80"/>
    <n v="2"/>
    <n v="4"/>
    <n v="1"/>
    <n v="2"/>
    <n v="2"/>
    <n v="2"/>
    <n v="2"/>
  </r>
  <r>
    <x v="1"/>
    <s v="Travel_Rarely"/>
    <x v="0"/>
    <s v="Current Employees"/>
    <x v="1"/>
    <x v="0"/>
    <x v="631"/>
    <n v="874"/>
    <x v="1"/>
    <x v="2"/>
    <x v="1"/>
    <s v="Yes"/>
    <s v="Y"/>
    <n v="2"/>
    <n v="-2"/>
    <n v="0"/>
    <x v="20"/>
    <x v="1"/>
    <x v="1"/>
    <n v="0"/>
    <n v="1"/>
    <n v="986"/>
    <n v="8"/>
    <x v="2"/>
    <x v="0"/>
    <n v="1"/>
    <n v="62"/>
    <n v="4"/>
    <n v="1"/>
    <n v="1"/>
    <x v="604"/>
    <n v="5044"/>
    <n v="2"/>
    <n v="24"/>
    <n v="4"/>
    <n v="3"/>
    <n v="80"/>
    <n v="1"/>
    <n v="10"/>
    <n v="2"/>
    <n v="3"/>
    <n v="2"/>
    <n v="0"/>
    <n v="2"/>
  </r>
  <r>
    <x v="1"/>
    <s v="Travel_Frequently"/>
    <x v="0"/>
    <s v="Current Employees"/>
    <x v="1"/>
    <x v="2"/>
    <x v="632"/>
    <n v="875"/>
    <x v="1"/>
    <x v="1"/>
    <x v="0"/>
    <s v="Yes"/>
    <s v="Y"/>
    <n v="2"/>
    <n v="-2"/>
    <n v="0"/>
    <x v="19"/>
    <x v="1"/>
    <x v="1"/>
    <n v="0"/>
    <n v="1"/>
    <n v="1271"/>
    <n v="2"/>
    <x v="1"/>
    <x v="0"/>
    <n v="2"/>
    <n v="35"/>
    <n v="3"/>
    <n v="1"/>
    <n v="4"/>
    <x v="605"/>
    <n v="9068"/>
    <n v="5"/>
    <n v="14"/>
    <n v="3"/>
    <n v="4"/>
    <n v="80"/>
    <n v="0"/>
    <n v="8"/>
    <n v="3"/>
    <n v="2"/>
    <n v="1"/>
    <n v="2"/>
    <n v="2"/>
  </r>
  <r>
    <x v="1"/>
    <s v="Travel_Rarely"/>
    <x v="0"/>
    <s v="Current Employees"/>
    <x v="2"/>
    <x v="0"/>
    <x v="633"/>
    <n v="878"/>
    <x v="1"/>
    <x v="8"/>
    <x v="1"/>
    <s v="No"/>
    <s v="Y"/>
    <n v="3"/>
    <n v="-2"/>
    <n v="0"/>
    <x v="9"/>
    <x v="1"/>
    <x v="1"/>
    <n v="0"/>
    <n v="1"/>
    <n v="1278"/>
    <n v="8"/>
    <x v="3"/>
    <x v="0"/>
    <n v="1"/>
    <n v="77"/>
    <n v="2"/>
    <n v="1"/>
    <n v="1"/>
    <x v="531"/>
    <n v="8635"/>
    <n v="0"/>
    <n v="21"/>
    <n v="4"/>
    <n v="3"/>
    <n v="80"/>
    <n v="0"/>
    <n v="6"/>
    <n v="3"/>
    <n v="5"/>
    <n v="4"/>
    <n v="0"/>
    <n v="3"/>
  </r>
  <r>
    <x v="1"/>
    <s v="Travel_Rarely"/>
    <x v="2"/>
    <s v="Current Employees"/>
    <x v="0"/>
    <x v="1"/>
    <x v="634"/>
    <n v="879"/>
    <x v="1"/>
    <x v="0"/>
    <x v="1"/>
    <s v="Yes"/>
    <s v="Y"/>
    <n v="3"/>
    <n v="-2"/>
    <n v="0"/>
    <x v="36"/>
    <x v="1"/>
    <x v="1"/>
    <n v="0"/>
    <n v="1"/>
    <n v="141"/>
    <n v="3"/>
    <x v="1"/>
    <x v="0"/>
    <n v="3"/>
    <n v="98"/>
    <n v="3"/>
    <n v="2"/>
    <n v="3"/>
    <x v="606"/>
    <n v="14363"/>
    <n v="1"/>
    <n v="18"/>
    <n v="3"/>
    <n v="4"/>
    <n v="80"/>
    <n v="0"/>
    <n v="5"/>
    <n v="3"/>
    <n v="5"/>
    <n v="3"/>
    <n v="0"/>
    <n v="3"/>
  </r>
  <r>
    <x v="1"/>
    <s v="Travel_Rarely"/>
    <x v="0"/>
    <s v="Current Employees"/>
    <x v="1"/>
    <x v="0"/>
    <x v="635"/>
    <n v="880"/>
    <x v="0"/>
    <x v="3"/>
    <x v="1"/>
    <s v="Yes"/>
    <s v="Y"/>
    <n v="2"/>
    <n v="-2"/>
    <n v="0"/>
    <x v="10"/>
    <x v="1"/>
    <x v="1"/>
    <n v="0"/>
    <n v="1"/>
    <n v="607"/>
    <n v="9"/>
    <x v="3"/>
    <x v="0"/>
    <n v="4"/>
    <n v="66"/>
    <n v="2"/>
    <n v="3"/>
    <n v="1"/>
    <x v="607"/>
    <n v="23457"/>
    <n v="1"/>
    <n v="20"/>
    <n v="4"/>
    <n v="2"/>
    <n v="80"/>
    <n v="1"/>
    <n v="17"/>
    <n v="3"/>
    <n v="17"/>
    <n v="14"/>
    <n v="5"/>
    <n v="15"/>
  </r>
  <r>
    <x v="0"/>
    <s v="Travel_Frequently"/>
    <x v="0"/>
    <s v="Ex-Employees"/>
    <x v="1"/>
    <x v="0"/>
    <x v="636"/>
    <n v="881"/>
    <x v="0"/>
    <x v="1"/>
    <x v="2"/>
    <s v="Yes"/>
    <s v="Y"/>
    <n v="3"/>
    <n v="-2"/>
    <n v="0"/>
    <x v="10"/>
    <x v="0"/>
    <x v="0"/>
    <n v="1"/>
    <n v="0"/>
    <n v="130"/>
    <n v="25"/>
    <x v="2"/>
    <x v="0"/>
    <n v="4"/>
    <n v="96"/>
    <n v="3"/>
    <n v="1"/>
    <n v="1"/>
    <x v="608"/>
    <n v="16612"/>
    <n v="1"/>
    <n v="19"/>
    <n v="3"/>
    <n v="1"/>
    <n v="80"/>
    <n v="1"/>
    <n v="10"/>
    <n v="2"/>
    <n v="10"/>
    <n v="2"/>
    <n v="7"/>
    <n v="8"/>
  </r>
  <r>
    <x v="1"/>
    <s v="Non-Travel"/>
    <x v="2"/>
    <s v="Current Employees"/>
    <x v="1"/>
    <x v="0"/>
    <x v="637"/>
    <n v="882"/>
    <x v="1"/>
    <x v="2"/>
    <x v="2"/>
    <s v="No"/>
    <s v="Y"/>
    <n v="2"/>
    <n v="-2"/>
    <n v="0"/>
    <x v="5"/>
    <x v="1"/>
    <x v="1"/>
    <n v="0"/>
    <n v="1"/>
    <n v="300"/>
    <n v="1"/>
    <x v="3"/>
    <x v="0"/>
    <n v="4"/>
    <n v="61"/>
    <n v="3"/>
    <n v="1"/>
    <n v="1"/>
    <x v="609"/>
    <n v="9148"/>
    <n v="0"/>
    <n v="12"/>
    <n v="3"/>
    <n v="2"/>
    <n v="80"/>
    <n v="1"/>
    <n v="4"/>
    <n v="3"/>
    <n v="3"/>
    <n v="0"/>
    <n v="0"/>
    <n v="2"/>
  </r>
  <r>
    <x v="1"/>
    <s v="Travel_Rarely"/>
    <x v="2"/>
    <s v="Current Employees"/>
    <x v="0"/>
    <x v="3"/>
    <x v="638"/>
    <n v="885"/>
    <x v="1"/>
    <x v="0"/>
    <x v="1"/>
    <s v="No"/>
    <s v="Y"/>
    <n v="1"/>
    <n v="-2"/>
    <n v="0"/>
    <x v="36"/>
    <x v="1"/>
    <x v="1"/>
    <n v="0"/>
    <n v="1"/>
    <n v="583"/>
    <n v="4"/>
    <x v="1"/>
    <x v="0"/>
    <n v="3"/>
    <n v="87"/>
    <n v="2"/>
    <n v="2"/>
    <n v="2"/>
    <x v="610"/>
    <n v="18154"/>
    <n v="1"/>
    <n v="12"/>
    <n v="3"/>
    <n v="1"/>
    <n v="80"/>
    <n v="0"/>
    <n v="5"/>
    <n v="4"/>
    <n v="5"/>
    <n v="2"/>
    <n v="0"/>
    <n v="3"/>
  </r>
  <r>
    <x v="1"/>
    <s v="Travel_Rarely"/>
    <x v="1"/>
    <s v="Current Employees"/>
    <x v="1"/>
    <x v="4"/>
    <x v="639"/>
    <n v="887"/>
    <x v="0"/>
    <x v="1"/>
    <x v="1"/>
    <s v="No"/>
    <s v="Y"/>
    <n v="2"/>
    <n v="-2"/>
    <n v="0"/>
    <x v="1"/>
    <x v="1"/>
    <x v="1"/>
    <n v="0"/>
    <n v="1"/>
    <n v="1418"/>
    <n v="1"/>
    <x v="3"/>
    <x v="0"/>
    <n v="4"/>
    <n v="36"/>
    <n v="3"/>
    <n v="1"/>
    <n v="4"/>
    <x v="611"/>
    <n v="10554"/>
    <n v="2"/>
    <n v="16"/>
    <n v="3"/>
    <n v="2"/>
    <n v="80"/>
    <n v="1"/>
    <n v="7"/>
    <n v="3"/>
    <n v="4"/>
    <n v="2"/>
    <n v="0"/>
    <n v="2"/>
  </r>
  <r>
    <x v="1"/>
    <s v="Non-Travel"/>
    <x v="4"/>
    <s v="Current Employees"/>
    <x v="1"/>
    <x v="0"/>
    <x v="640"/>
    <n v="888"/>
    <x v="1"/>
    <x v="2"/>
    <x v="1"/>
    <s v="No"/>
    <s v="Y"/>
    <n v="2"/>
    <n v="-2"/>
    <n v="0"/>
    <x v="17"/>
    <x v="1"/>
    <x v="1"/>
    <n v="0"/>
    <n v="1"/>
    <n v="1269"/>
    <n v="4"/>
    <x v="1"/>
    <x v="0"/>
    <n v="1"/>
    <n v="46"/>
    <n v="2"/>
    <n v="1"/>
    <n v="1"/>
    <x v="612"/>
    <n v="10778"/>
    <n v="0"/>
    <n v="17"/>
    <n v="3"/>
    <n v="4"/>
    <n v="80"/>
    <n v="0"/>
    <n v="6"/>
    <n v="2"/>
    <n v="5"/>
    <n v="2"/>
    <n v="3"/>
    <n v="4"/>
  </r>
  <r>
    <x v="1"/>
    <s v="Travel_Frequently"/>
    <x v="2"/>
    <s v="Current Employees"/>
    <x v="0"/>
    <x v="0"/>
    <x v="641"/>
    <n v="889"/>
    <x v="1"/>
    <x v="0"/>
    <x v="1"/>
    <s v="No"/>
    <s v="Y"/>
    <n v="3"/>
    <n v="-2"/>
    <n v="0"/>
    <x v="5"/>
    <x v="1"/>
    <x v="1"/>
    <n v="0"/>
    <n v="1"/>
    <n v="379"/>
    <n v="5"/>
    <x v="0"/>
    <x v="0"/>
    <n v="2"/>
    <n v="48"/>
    <n v="3"/>
    <n v="2"/>
    <n v="1"/>
    <x v="613"/>
    <n v="8891"/>
    <n v="1"/>
    <n v="14"/>
    <n v="3"/>
    <n v="4"/>
    <n v="80"/>
    <n v="1"/>
    <n v="10"/>
    <n v="3"/>
    <n v="10"/>
    <n v="8"/>
    <n v="5"/>
    <n v="3"/>
  </r>
  <r>
    <x v="1"/>
    <s v="Travel_Rarely"/>
    <x v="0"/>
    <s v="Current Employees"/>
    <x v="0"/>
    <x v="3"/>
    <x v="642"/>
    <n v="893"/>
    <x v="1"/>
    <x v="6"/>
    <x v="1"/>
    <s v="No"/>
    <s v="Y"/>
    <n v="3"/>
    <n v="-2"/>
    <n v="0"/>
    <x v="8"/>
    <x v="1"/>
    <x v="1"/>
    <n v="0"/>
    <n v="1"/>
    <n v="395"/>
    <n v="9"/>
    <x v="3"/>
    <x v="0"/>
    <n v="2"/>
    <n v="98"/>
    <n v="2"/>
    <n v="1"/>
    <n v="2"/>
    <x v="614"/>
    <n v="12102"/>
    <n v="0"/>
    <n v="19"/>
    <n v="3"/>
    <n v="4"/>
    <n v="80"/>
    <n v="1"/>
    <n v="3"/>
    <n v="3"/>
    <n v="2"/>
    <n v="2"/>
    <n v="1"/>
    <n v="2"/>
  </r>
  <r>
    <x v="1"/>
    <s v="Travel_Rarely"/>
    <x v="0"/>
    <s v="Current Employees"/>
    <x v="1"/>
    <x v="0"/>
    <x v="643"/>
    <n v="894"/>
    <x v="0"/>
    <x v="2"/>
    <x v="1"/>
    <s v="Yes"/>
    <s v="Y"/>
    <n v="1"/>
    <n v="-2"/>
    <n v="0"/>
    <x v="19"/>
    <x v="1"/>
    <x v="1"/>
    <n v="0"/>
    <n v="1"/>
    <n v="1265"/>
    <n v="3"/>
    <x v="3"/>
    <x v="0"/>
    <n v="3"/>
    <n v="95"/>
    <n v="4"/>
    <n v="2"/>
    <n v="1"/>
    <x v="615"/>
    <n v="23726"/>
    <n v="2"/>
    <n v="13"/>
    <n v="3"/>
    <n v="2"/>
    <n v="80"/>
    <n v="1"/>
    <n v="17"/>
    <n v="2"/>
    <n v="5"/>
    <n v="3"/>
    <n v="1"/>
    <n v="3"/>
  </r>
  <r>
    <x v="1"/>
    <s v="Travel_Rarely"/>
    <x v="2"/>
    <s v="Current Employees"/>
    <x v="1"/>
    <x v="0"/>
    <x v="644"/>
    <n v="895"/>
    <x v="1"/>
    <x v="1"/>
    <x v="1"/>
    <s v="Yes"/>
    <s v="Y"/>
    <n v="2"/>
    <n v="-2"/>
    <n v="0"/>
    <x v="12"/>
    <x v="1"/>
    <x v="1"/>
    <n v="0"/>
    <n v="1"/>
    <n v="1222"/>
    <n v="11"/>
    <x v="2"/>
    <x v="0"/>
    <n v="4"/>
    <n v="48"/>
    <n v="3"/>
    <n v="1"/>
    <n v="1"/>
    <x v="616"/>
    <n v="14871"/>
    <n v="3"/>
    <n v="19"/>
    <n v="3"/>
    <n v="2"/>
    <n v="80"/>
    <n v="1"/>
    <n v="8"/>
    <n v="3"/>
    <n v="6"/>
    <n v="4"/>
    <n v="0"/>
    <n v="2"/>
  </r>
  <r>
    <x v="0"/>
    <s v="Travel_Rarely"/>
    <x v="2"/>
    <s v="Ex-Employees"/>
    <x v="0"/>
    <x v="2"/>
    <x v="645"/>
    <n v="896"/>
    <x v="0"/>
    <x v="6"/>
    <x v="2"/>
    <s v="Yes"/>
    <s v="Y"/>
    <n v="3"/>
    <n v="-2"/>
    <n v="0"/>
    <x v="11"/>
    <x v="0"/>
    <x v="0"/>
    <n v="1"/>
    <n v="0"/>
    <n v="341"/>
    <n v="1"/>
    <x v="3"/>
    <x v="0"/>
    <n v="2"/>
    <n v="48"/>
    <n v="2"/>
    <n v="1"/>
    <n v="3"/>
    <x v="617"/>
    <n v="23522"/>
    <n v="6"/>
    <n v="19"/>
    <n v="3"/>
    <n v="3"/>
    <n v="80"/>
    <n v="3"/>
    <n v="5"/>
    <n v="3"/>
    <n v="3"/>
    <n v="2"/>
    <n v="0"/>
    <n v="2"/>
  </r>
  <r>
    <x v="1"/>
    <s v="Travel_Rarely"/>
    <x v="1"/>
    <s v="Current Employees"/>
    <x v="0"/>
    <x v="3"/>
    <x v="646"/>
    <n v="897"/>
    <x v="1"/>
    <x v="0"/>
    <x v="1"/>
    <s v="No"/>
    <s v="Y"/>
    <n v="3"/>
    <n v="-2"/>
    <n v="0"/>
    <x v="16"/>
    <x v="1"/>
    <x v="1"/>
    <n v="0"/>
    <n v="1"/>
    <n v="868"/>
    <n v="8"/>
    <x v="3"/>
    <x v="0"/>
    <n v="1"/>
    <n v="73"/>
    <n v="3"/>
    <n v="4"/>
    <n v="2"/>
    <x v="618"/>
    <n v="22789"/>
    <n v="5"/>
    <n v="14"/>
    <n v="3"/>
    <n v="3"/>
    <n v="80"/>
    <n v="1"/>
    <n v="28"/>
    <n v="3"/>
    <n v="2"/>
    <n v="0"/>
    <n v="2"/>
    <n v="2"/>
  </r>
  <r>
    <x v="1"/>
    <s v="Travel_Rarely"/>
    <x v="0"/>
    <s v="Current Employees"/>
    <x v="1"/>
    <x v="4"/>
    <x v="647"/>
    <n v="899"/>
    <x v="1"/>
    <x v="3"/>
    <x v="1"/>
    <s v="No"/>
    <s v="Y"/>
    <n v="2"/>
    <n v="-2"/>
    <n v="0"/>
    <x v="10"/>
    <x v="1"/>
    <x v="1"/>
    <n v="0"/>
    <n v="1"/>
    <n v="672"/>
    <n v="25"/>
    <x v="3"/>
    <x v="0"/>
    <n v="4"/>
    <n v="78"/>
    <n v="2"/>
    <n v="3"/>
    <n v="4"/>
    <x v="619"/>
    <n v="9129"/>
    <n v="3"/>
    <n v="16"/>
    <n v="3"/>
    <n v="1"/>
    <n v="80"/>
    <n v="0"/>
    <n v="16"/>
    <n v="3"/>
    <n v="13"/>
    <n v="10"/>
    <n v="4"/>
    <n v="8"/>
  </r>
  <r>
    <x v="1"/>
    <s v="Travel_Frequently"/>
    <x v="0"/>
    <s v="Current Employees"/>
    <x v="0"/>
    <x v="2"/>
    <x v="648"/>
    <n v="900"/>
    <x v="0"/>
    <x v="6"/>
    <x v="1"/>
    <s v="No"/>
    <s v="Y"/>
    <n v="3"/>
    <n v="-2"/>
    <n v="0"/>
    <x v="2"/>
    <x v="1"/>
    <x v="1"/>
    <n v="0"/>
    <n v="1"/>
    <n v="1231"/>
    <n v="21"/>
    <x v="0"/>
    <x v="0"/>
    <n v="3"/>
    <n v="54"/>
    <n v="3"/>
    <n v="1"/>
    <n v="4"/>
    <x v="620"/>
    <n v="21222"/>
    <n v="5"/>
    <n v="15"/>
    <n v="3"/>
    <n v="2"/>
    <n v="80"/>
    <n v="1"/>
    <n v="10"/>
    <n v="3"/>
    <n v="5"/>
    <n v="4"/>
    <n v="0"/>
    <n v="0"/>
  </r>
  <r>
    <x v="1"/>
    <s v="Travel_Rarely"/>
    <x v="1"/>
    <s v="Current Employees"/>
    <x v="1"/>
    <x v="0"/>
    <x v="649"/>
    <n v="901"/>
    <x v="0"/>
    <x v="7"/>
    <x v="0"/>
    <s v="No"/>
    <s v="Y"/>
    <n v="0"/>
    <n v="-2"/>
    <n v="0"/>
    <x v="16"/>
    <x v="1"/>
    <x v="1"/>
    <n v="0"/>
    <n v="1"/>
    <n v="102"/>
    <n v="23"/>
    <x v="2"/>
    <x v="0"/>
    <n v="4"/>
    <n v="72"/>
    <n v="3"/>
    <n v="4"/>
    <n v="1"/>
    <x v="621"/>
    <n v="20206"/>
    <n v="6"/>
    <n v="18"/>
    <n v="3"/>
    <n v="3"/>
    <n v="80"/>
    <n v="0"/>
    <n v="33"/>
    <n v="3"/>
    <n v="12"/>
    <n v="9"/>
    <n v="3"/>
    <n v="8"/>
  </r>
  <r>
    <x v="1"/>
    <s v="Travel_Frequently"/>
    <x v="0"/>
    <s v="Current Employees"/>
    <x v="1"/>
    <x v="0"/>
    <x v="650"/>
    <n v="902"/>
    <x v="0"/>
    <x v="4"/>
    <x v="1"/>
    <s v="No"/>
    <s v="Y"/>
    <n v="2"/>
    <n v="-2"/>
    <n v="0"/>
    <x v="23"/>
    <x v="1"/>
    <x v="1"/>
    <n v="0"/>
    <n v="1"/>
    <n v="422"/>
    <n v="1"/>
    <x v="3"/>
    <x v="0"/>
    <n v="4"/>
    <n v="33"/>
    <n v="3"/>
    <n v="2"/>
    <n v="1"/>
    <x v="622"/>
    <n v="21782"/>
    <n v="4"/>
    <n v="13"/>
    <n v="3"/>
    <n v="2"/>
    <n v="80"/>
    <n v="1"/>
    <n v="12"/>
    <n v="2"/>
    <n v="5"/>
    <n v="2"/>
    <n v="2"/>
    <n v="2"/>
  </r>
  <r>
    <x v="1"/>
    <s v="Travel_Rarely"/>
    <x v="1"/>
    <s v="Current Employees"/>
    <x v="0"/>
    <x v="3"/>
    <x v="651"/>
    <n v="903"/>
    <x v="0"/>
    <x v="0"/>
    <x v="1"/>
    <s v="Yes"/>
    <s v="Y"/>
    <n v="2"/>
    <n v="-2"/>
    <n v="0"/>
    <x v="40"/>
    <x v="1"/>
    <x v="1"/>
    <n v="0"/>
    <n v="1"/>
    <n v="249"/>
    <n v="2"/>
    <x v="0"/>
    <x v="0"/>
    <n v="3"/>
    <n v="35"/>
    <n v="3"/>
    <n v="2"/>
    <n v="2"/>
    <x v="623"/>
    <n v="17783"/>
    <n v="0"/>
    <n v="22"/>
    <n v="4"/>
    <n v="1"/>
    <n v="80"/>
    <n v="1"/>
    <n v="8"/>
    <n v="3"/>
    <n v="7"/>
    <n v="6"/>
    <n v="7"/>
    <n v="7"/>
  </r>
  <r>
    <x v="1"/>
    <s v="Non-Travel"/>
    <x v="0"/>
    <s v="Current Employees"/>
    <x v="0"/>
    <x v="2"/>
    <x v="652"/>
    <n v="904"/>
    <x v="1"/>
    <x v="0"/>
    <x v="0"/>
    <s v="Yes"/>
    <s v="Y"/>
    <n v="2"/>
    <n v="-2"/>
    <n v="0"/>
    <x v="2"/>
    <x v="1"/>
    <x v="1"/>
    <n v="0"/>
    <n v="1"/>
    <n v="1252"/>
    <n v="19"/>
    <x v="0"/>
    <x v="0"/>
    <n v="1"/>
    <n v="32"/>
    <n v="3"/>
    <n v="3"/>
    <n v="3"/>
    <x v="624"/>
    <n v="4814"/>
    <n v="1"/>
    <n v="13"/>
    <n v="3"/>
    <n v="4"/>
    <n v="80"/>
    <n v="0"/>
    <n v="10"/>
    <n v="3"/>
    <n v="10"/>
    <n v="0"/>
    <n v="0"/>
    <n v="9"/>
  </r>
  <r>
    <x v="1"/>
    <s v="Non-Travel"/>
    <x v="1"/>
    <s v="Current Employees"/>
    <x v="1"/>
    <x v="0"/>
    <x v="653"/>
    <n v="905"/>
    <x v="1"/>
    <x v="5"/>
    <x v="2"/>
    <s v="No"/>
    <s v="Y"/>
    <n v="3"/>
    <n v="-2"/>
    <n v="0"/>
    <x v="24"/>
    <x v="1"/>
    <x v="1"/>
    <n v="0"/>
    <n v="1"/>
    <n v="881"/>
    <n v="2"/>
    <x v="2"/>
    <x v="0"/>
    <n v="1"/>
    <n v="98"/>
    <n v="3"/>
    <n v="4"/>
    <n v="1"/>
    <x v="625"/>
    <n v="4544"/>
    <n v="1"/>
    <n v="11"/>
    <n v="3"/>
    <n v="4"/>
    <n v="80"/>
    <n v="1"/>
    <n v="31"/>
    <n v="3"/>
    <n v="31"/>
    <n v="6"/>
    <n v="14"/>
    <n v="7"/>
  </r>
  <r>
    <x v="1"/>
    <s v="Travel_Rarely"/>
    <x v="0"/>
    <s v="Current Employees"/>
    <x v="2"/>
    <x v="0"/>
    <x v="654"/>
    <n v="909"/>
    <x v="0"/>
    <x v="8"/>
    <x v="1"/>
    <s v="No"/>
    <s v="Y"/>
    <n v="2"/>
    <n v="-2"/>
    <n v="0"/>
    <x v="22"/>
    <x v="1"/>
    <x v="1"/>
    <n v="0"/>
    <n v="1"/>
    <n v="1383"/>
    <n v="2"/>
    <x v="3"/>
    <x v="0"/>
    <n v="4"/>
    <n v="42"/>
    <n v="2"/>
    <n v="2"/>
    <n v="1"/>
    <x v="626"/>
    <n v="7790"/>
    <n v="8"/>
    <n v="11"/>
    <n v="3"/>
    <n v="3"/>
    <n v="80"/>
    <n v="2"/>
    <n v="13"/>
    <n v="3"/>
    <n v="5"/>
    <n v="4"/>
    <n v="0"/>
    <n v="4"/>
  </r>
  <r>
    <x v="1"/>
    <s v="Travel_Rarely"/>
    <x v="2"/>
    <s v="Current Employees"/>
    <x v="2"/>
    <x v="5"/>
    <x v="655"/>
    <n v="910"/>
    <x v="1"/>
    <x v="8"/>
    <x v="2"/>
    <s v="Yes"/>
    <s v="Y"/>
    <n v="4"/>
    <n v="-2"/>
    <n v="0"/>
    <x v="3"/>
    <x v="1"/>
    <x v="1"/>
    <n v="0"/>
    <n v="1"/>
    <n v="1075"/>
    <n v="3"/>
    <x v="0"/>
    <x v="0"/>
    <n v="4"/>
    <n v="57"/>
    <n v="3"/>
    <n v="1"/>
    <n v="3"/>
    <x v="627"/>
    <n v="22650"/>
    <n v="3"/>
    <n v="11"/>
    <n v="3"/>
    <n v="3"/>
    <n v="80"/>
    <n v="1"/>
    <n v="7"/>
    <n v="4"/>
    <n v="4"/>
    <n v="3"/>
    <n v="0"/>
    <n v="3"/>
  </r>
  <r>
    <x v="0"/>
    <s v="Travel_Rarely"/>
    <x v="2"/>
    <s v="Ex-Employees"/>
    <x v="1"/>
    <x v="0"/>
    <x v="656"/>
    <n v="911"/>
    <x v="1"/>
    <x v="2"/>
    <x v="0"/>
    <s v="Yes"/>
    <s v="Y"/>
    <n v="2"/>
    <n v="-2"/>
    <n v="0"/>
    <x v="5"/>
    <x v="0"/>
    <x v="0"/>
    <n v="1"/>
    <n v="0"/>
    <n v="374"/>
    <n v="25"/>
    <x v="2"/>
    <x v="0"/>
    <n v="1"/>
    <n v="87"/>
    <n v="3"/>
    <n v="1"/>
    <n v="1"/>
    <x v="628"/>
    <n v="18016"/>
    <n v="1"/>
    <n v="24"/>
    <n v="4"/>
    <n v="3"/>
    <n v="80"/>
    <n v="0"/>
    <n v="1"/>
    <n v="1"/>
    <n v="1"/>
    <n v="0"/>
    <n v="0"/>
    <n v="1"/>
  </r>
  <r>
    <x v="1"/>
    <s v="Travel_Rarely"/>
    <x v="2"/>
    <s v="Current Employees"/>
    <x v="1"/>
    <x v="2"/>
    <x v="657"/>
    <n v="912"/>
    <x v="0"/>
    <x v="2"/>
    <x v="2"/>
    <s v="No"/>
    <s v="Y"/>
    <n v="5"/>
    <n v="-2"/>
    <n v="0"/>
    <x v="11"/>
    <x v="1"/>
    <x v="1"/>
    <n v="0"/>
    <n v="1"/>
    <n v="1086"/>
    <n v="7"/>
    <x v="1"/>
    <x v="0"/>
    <n v="1"/>
    <n v="62"/>
    <n v="2"/>
    <n v="1"/>
    <n v="4"/>
    <x v="629"/>
    <n v="6054"/>
    <n v="6"/>
    <n v="14"/>
    <n v="3"/>
    <n v="3"/>
    <n v="80"/>
    <n v="3"/>
    <n v="8"/>
    <n v="3"/>
    <n v="4"/>
    <n v="3"/>
    <n v="0"/>
    <n v="3"/>
  </r>
  <r>
    <x v="1"/>
    <s v="Travel_Rarely"/>
    <x v="0"/>
    <s v="Current Employees"/>
    <x v="1"/>
    <x v="0"/>
    <x v="658"/>
    <n v="913"/>
    <x v="1"/>
    <x v="1"/>
    <x v="1"/>
    <s v="Yes"/>
    <s v="Y"/>
    <n v="0"/>
    <n v="-2"/>
    <n v="0"/>
    <x v="20"/>
    <x v="1"/>
    <x v="1"/>
    <n v="0"/>
    <n v="1"/>
    <n v="661"/>
    <n v="9"/>
    <x v="0"/>
    <x v="0"/>
    <n v="2"/>
    <n v="61"/>
    <n v="3"/>
    <n v="1"/>
    <n v="1"/>
    <x v="594"/>
    <n v="7508"/>
    <n v="1"/>
    <n v="13"/>
    <n v="3"/>
    <n v="4"/>
    <n v="80"/>
    <n v="0"/>
    <n v="8"/>
    <n v="3"/>
    <n v="8"/>
    <n v="7"/>
    <n v="7"/>
    <n v="1"/>
  </r>
  <r>
    <x v="1"/>
    <s v="Travel_Rarely"/>
    <x v="2"/>
    <s v="Current Employees"/>
    <x v="0"/>
    <x v="2"/>
    <x v="659"/>
    <n v="916"/>
    <x v="1"/>
    <x v="0"/>
    <x v="0"/>
    <s v="No"/>
    <s v="Y"/>
    <n v="3"/>
    <n v="-2"/>
    <n v="0"/>
    <x v="14"/>
    <x v="1"/>
    <x v="1"/>
    <n v="0"/>
    <n v="1"/>
    <n v="821"/>
    <n v="5"/>
    <x v="2"/>
    <x v="0"/>
    <n v="1"/>
    <n v="98"/>
    <n v="3"/>
    <n v="2"/>
    <n v="4"/>
    <x v="630"/>
    <n v="24252"/>
    <n v="1"/>
    <n v="14"/>
    <n v="3"/>
    <n v="2"/>
    <n v="80"/>
    <n v="0"/>
    <n v="4"/>
    <n v="3"/>
    <n v="4"/>
    <n v="2"/>
    <n v="0"/>
    <n v="2"/>
  </r>
  <r>
    <x v="0"/>
    <s v="Travel_Frequently"/>
    <x v="3"/>
    <s v="Ex-Employees"/>
    <x v="1"/>
    <x v="0"/>
    <x v="660"/>
    <n v="918"/>
    <x v="1"/>
    <x v="2"/>
    <x v="2"/>
    <s v="Yes"/>
    <s v="Y"/>
    <n v="3"/>
    <n v="-2"/>
    <n v="0"/>
    <x v="34"/>
    <x v="0"/>
    <x v="0"/>
    <n v="1"/>
    <n v="0"/>
    <n v="781"/>
    <n v="2"/>
    <x v="1"/>
    <x v="0"/>
    <n v="4"/>
    <n v="57"/>
    <n v="2"/>
    <n v="1"/>
    <n v="1"/>
    <x v="631"/>
    <n v="13384"/>
    <n v="9"/>
    <n v="14"/>
    <n v="3"/>
    <n v="4"/>
    <n v="80"/>
    <n v="1"/>
    <n v="3"/>
    <n v="2"/>
    <n v="1"/>
    <n v="0"/>
    <n v="0"/>
    <n v="0"/>
  </r>
  <r>
    <x v="1"/>
    <s v="Travel_Rarely"/>
    <x v="0"/>
    <s v="Current Employees"/>
    <x v="1"/>
    <x v="0"/>
    <x v="661"/>
    <n v="920"/>
    <x v="0"/>
    <x v="3"/>
    <x v="2"/>
    <s v="No"/>
    <s v="Y"/>
    <n v="2"/>
    <n v="-2"/>
    <n v="0"/>
    <x v="23"/>
    <x v="1"/>
    <x v="1"/>
    <n v="0"/>
    <n v="1"/>
    <n v="177"/>
    <n v="8"/>
    <x v="3"/>
    <x v="0"/>
    <n v="1"/>
    <n v="55"/>
    <n v="3"/>
    <n v="2"/>
    <n v="1"/>
    <x v="632"/>
    <n v="23814"/>
    <n v="4"/>
    <n v="21"/>
    <n v="4"/>
    <n v="3"/>
    <n v="80"/>
    <n v="1"/>
    <n v="4"/>
    <n v="4"/>
    <n v="1"/>
    <n v="0"/>
    <n v="0"/>
    <n v="0"/>
  </r>
  <r>
    <x v="0"/>
    <s v="Travel_Rarely"/>
    <x v="4"/>
    <s v="Ex-Employees"/>
    <x v="0"/>
    <x v="2"/>
    <x v="662"/>
    <n v="922"/>
    <x v="0"/>
    <x v="6"/>
    <x v="0"/>
    <s v="No"/>
    <s v="Y"/>
    <n v="3"/>
    <n v="-2"/>
    <n v="0"/>
    <x v="35"/>
    <x v="0"/>
    <x v="0"/>
    <n v="1"/>
    <n v="0"/>
    <n v="500"/>
    <n v="2"/>
    <x v="3"/>
    <x v="0"/>
    <n v="3"/>
    <n v="49"/>
    <n v="2"/>
    <n v="1"/>
    <n v="3"/>
    <x v="633"/>
    <n v="22052"/>
    <n v="1"/>
    <n v="13"/>
    <n v="3"/>
    <n v="4"/>
    <n v="80"/>
    <n v="0"/>
    <n v="2"/>
    <n v="2"/>
    <n v="2"/>
    <n v="2"/>
    <n v="0"/>
    <n v="2"/>
  </r>
  <r>
    <x v="0"/>
    <s v="Travel_Rarely"/>
    <x v="4"/>
    <s v="Ex-Employees"/>
    <x v="1"/>
    <x v="1"/>
    <x v="663"/>
    <n v="923"/>
    <x v="0"/>
    <x v="1"/>
    <x v="0"/>
    <s v="No"/>
    <s v="Y"/>
    <n v="3"/>
    <n v="-2"/>
    <n v="0"/>
    <x v="18"/>
    <x v="0"/>
    <x v="0"/>
    <n v="1"/>
    <n v="0"/>
    <n v="1427"/>
    <n v="18"/>
    <x v="1"/>
    <x v="0"/>
    <n v="4"/>
    <n v="65"/>
    <n v="3"/>
    <n v="1"/>
    <n v="4"/>
    <x v="7"/>
    <n v="8870"/>
    <n v="1"/>
    <n v="19"/>
    <n v="3"/>
    <n v="1"/>
    <n v="80"/>
    <n v="0"/>
    <n v="1"/>
    <n v="2"/>
    <n v="1"/>
    <n v="0"/>
    <n v="0"/>
    <n v="0"/>
  </r>
  <r>
    <x v="1"/>
    <s v="Travel_Rarely"/>
    <x v="0"/>
    <s v="Current Employees"/>
    <x v="1"/>
    <x v="0"/>
    <x v="664"/>
    <n v="924"/>
    <x v="1"/>
    <x v="4"/>
    <x v="1"/>
    <s v="Yes"/>
    <s v="Y"/>
    <n v="2"/>
    <n v="-2"/>
    <n v="0"/>
    <x v="9"/>
    <x v="1"/>
    <x v="1"/>
    <n v="0"/>
    <n v="1"/>
    <n v="1425"/>
    <n v="14"/>
    <x v="1"/>
    <x v="0"/>
    <n v="3"/>
    <n v="68"/>
    <n v="3"/>
    <n v="2"/>
    <n v="1"/>
    <x v="634"/>
    <n v="4821"/>
    <n v="0"/>
    <n v="17"/>
    <n v="3"/>
    <n v="1"/>
    <n v="80"/>
    <n v="1"/>
    <n v="17"/>
    <n v="2"/>
    <n v="16"/>
    <n v="8"/>
    <n v="4"/>
    <n v="11"/>
  </r>
  <r>
    <x v="1"/>
    <s v="Travel_Rarely"/>
    <x v="1"/>
    <s v="Current Employees"/>
    <x v="0"/>
    <x v="0"/>
    <x v="665"/>
    <n v="925"/>
    <x v="0"/>
    <x v="6"/>
    <x v="0"/>
    <s v="Yes"/>
    <s v="Y"/>
    <n v="3"/>
    <n v="-2"/>
    <n v="0"/>
    <x v="40"/>
    <x v="1"/>
    <x v="1"/>
    <n v="0"/>
    <n v="1"/>
    <n v="1454"/>
    <n v="2"/>
    <x v="2"/>
    <x v="0"/>
    <n v="4"/>
    <n v="65"/>
    <n v="2"/>
    <n v="1"/>
    <n v="1"/>
    <x v="635"/>
    <n v="13137"/>
    <n v="1"/>
    <n v="18"/>
    <n v="3"/>
    <n v="1"/>
    <n v="80"/>
    <n v="0"/>
    <n v="3"/>
    <n v="2"/>
    <n v="3"/>
    <n v="2"/>
    <n v="1"/>
    <n v="2"/>
  </r>
  <r>
    <x v="0"/>
    <s v="Travel_Rarely"/>
    <x v="4"/>
    <s v="Ex-Employees"/>
    <x v="1"/>
    <x v="0"/>
    <x v="666"/>
    <n v="926"/>
    <x v="0"/>
    <x v="3"/>
    <x v="1"/>
    <s v="Yes"/>
    <s v="Y"/>
    <n v="3"/>
    <n v="-2"/>
    <n v="0"/>
    <x v="15"/>
    <x v="0"/>
    <x v="0"/>
    <n v="1"/>
    <n v="0"/>
    <n v="617"/>
    <n v="3"/>
    <x v="1"/>
    <x v="0"/>
    <n v="2"/>
    <n v="34"/>
    <n v="3"/>
    <n v="2"/>
    <n v="1"/>
    <x v="636"/>
    <n v="10022"/>
    <n v="0"/>
    <n v="19"/>
    <n v="3"/>
    <n v="1"/>
    <n v="80"/>
    <n v="1"/>
    <n v="4"/>
    <n v="4"/>
    <n v="3"/>
    <n v="2"/>
    <n v="0"/>
    <n v="2"/>
  </r>
  <r>
    <x v="0"/>
    <s v="Travel_Rarely"/>
    <x v="0"/>
    <s v="Ex-Employees"/>
    <x v="1"/>
    <x v="0"/>
    <x v="667"/>
    <n v="927"/>
    <x v="0"/>
    <x v="2"/>
    <x v="2"/>
    <s v="Yes"/>
    <s v="Y"/>
    <n v="1"/>
    <n v="-2"/>
    <n v="0"/>
    <x v="0"/>
    <x v="0"/>
    <x v="0"/>
    <n v="1"/>
    <n v="0"/>
    <n v="1085"/>
    <n v="2"/>
    <x v="2"/>
    <x v="0"/>
    <n v="2"/>
    <n v="57"/>
    <n v="1"/>
    <n v="1"/>
    <n v="1"/>
    <x v="637"/>
    <n v="17725"/>
    <n v="4"/>
    <n v="13"/>
    <n v="3"/>
    <n v="3"/>
    <n v="80"/>
    <n v="1"/>
    <n v="10"/>
    <n v="2"/>
    <n v="7"/>
    <n v="7"/>
    <n v="1"/>
    <n v="0"/>
  </r>
  <r>
    <x v="1"/>
    <s v="Travel_Rarely"/>
    <x v="2"/>
    <s v="Current Employees"/>
    <x v="1"/>
    <x v="2"/>
    <x v="668"/>
    <n v="930"/>
    <x v="0"/>
    <x v="1"/>
    <x v="2"/>
    <s v="No"/>
    <s v="Y"/>
    <n v="2"/>
    <n v="-2"/>
    <n v="0"/>
    <x v="14"/>
    <x v="1"/>
    <x v="1"/>
    <n v="0"/>
    <n v="1"/>
    <n v="995"/>
    <n v="9"/>
    <x v="3"/>
    <x v="0"/>
    <n v="3"/>
    <n v="77"/>
    <n v="3"/>
    <n v="1"/>
    <n v="3"/>
    <x v="638"/>
    <n v="9834"/>
    <n v="5"/>
    <n v="18"/>
    <n v="3"/>
    <n v="2"/>
    <n v="80"/>
    <n v="1"/>
    <n v="6"/>
    <n v="3"/>
    <n v="2"/>
    <n v="2"/>
    <n v="2"/>
    <n v="2"/>
  </r>
  <r>
    <x v="0"/>
    <s v="Travel_Rarely"/>
    <x v="0"/>
    <s v="Ex-Employees"/>
    <x v="1"/>
    <x v="2"/>
    <x v="669"/>
    <n v="932"/>
    <x v="1"/>
    <x v="2"/>
    <x v="1"/>
    <s v="Yes"/>
    <s v="Y"/>
    <n v="2"/>
    <n v="-2"/>
    <n v="0"/>
    <x v="22"/>
    <x v="0"/>
    <x v="0"/>
    <n v="1"/>
    <n v="0"/>
    <n v="1122"/>
    <n v="6"/>
    <x v="3"/>
    <x v="0"/>
    <n v="4"/>
    <n v="70"/>
    <n v="3"/>
    <n v="1"/>
    <n v="3"/>
    <x v="639"/>
    <n v="4303"/>
    <n v="7"/>
    <n v="21"/>
    <n v="4"/>
    <n v="4"/>
    <n v="80"/>
    <n v="0"/>
    <n v="8"/>
    <n v="1"/>
    <n v="2"/>
    <n v="2"/>
    <n v="2"/>
    <n v="2"/>
  </r>
  <r>
    <x v="1"/>
    <s v="Travel_Rarely"/>
    <x v="2"/>
    <s v="Current Employees"/>
    <x v="1"/>
    <x v="0"/>
    <x v="670"/>
    <n v="933"/>
    <x v="0"/>
    <x v="1"/>
    <x v="0"/>
    <s v="No"/>
    <s v="Y"/>
    <n v="2"/>
    <n v="-2"/>
    <n v="0"/>
    <x v="4"/>
    <x v="1"/>
    <x v="1"/>
    <n v="0"/>
    <n v="1"/>
    <n v="618"/>
    <n v="4"/>
    <x v="3"/>
    <x v="0"/>
    <n v="2"/>
    <n v="76"/>
    <n v="3"/>
    <n v="1"/>
    <n v="1"/>
    <x v="640"/>
    <n v="17808"/>
    <n v="1"/>
    <n v="19"/>
    <n v="3"/>
    <n v="3"/>
    <n v="80"/>
    <n v="0"/>
    <n v="1"/>
    <n v="3"/>
    <n v="1"/>
    <n v="1"/>
    <n v="0"/>
    <n v="0"/>
  </r>
  <r>
    <x v="1"/>
    <s v="Travel_Rarely"/>
    <x v="2"/>
    <s v="Current Employees"/>
    <x v="1"/>
    <x v="0"/>
    <x v="671"/>
    <n v="934"/>
    <x v="1"/>
    <x v="2"/>
    <x v="2"/>
    <s v="No"/>
    <s v="Y"/>
    <n v="3"/>
    <n v="-2"/>
    <n v="0"/>
    <x v="13"/>
    <x v="1"/>
    <x v="1"/>
    <n v="0"/>
    <n v="1"/>
    <n v="546"/>
    <n v="10"/>
    <x v="3"/>
    <x v="0"/>
    <n v="2"/>
    <n v="83"/>
    <n v="3"/>
    <n v="1"/>
    <n v="1"/>
    <x v="641"/>
    <n v="6896"/>
    <n v="1"/>
    <n v="14"/>
    <n v="3"/>
    <n v="2"/>
    <n v="80"/>
    <n v="2"/>
    <n v="1"/>
    <n v="3"/>
    <n v="1"/>
    <n v="0"/>
    <n v="1"/>
    <n v="0"/>
  </r>
  <r>
    <x v="1"/>
    <s v="Travel_Rarely"/>
    <x v="0"/>
    <s v="Current Employees"/>
    <x v="0"/>
    <x v="2"/>
    <x v="672"/>
    <n v="936"/>
    <x v="0"/>
    <x v="0"/>
    <x v="0"/>
    <s v="No"/>
    <s v="Y"/>
    <n v="6"/>
    <n v="-2"/>
    <n v="0"/>
    <x v="19"/>
    <x v="1"/>
    <x v="1"/>
    <n v="0"/>
    <n v="1"/>
    <n v="462"/>
    <n v="14"/>
    <x v="0"/>
    <x v="0"/>
    <n v="3"/>
    <n v="68"/>
    <n v="2"/>
    <n v="2"/>
    <n v="3"/>
    <x v="642"/>
    <n v="7824"/>
    <n v="7"/>
    <n v="17"/>
    <n v="3"/>
    <n v="1"/>
    <n v="80"/>
    <n v="0"/>
    <n v="10"/>
    <n v="3"/>
    <n v="5"/>
    <n v="4"/>
    <n v="0"/>
    <n v="3"/>
  </r>
  <r>
    <x v="1"/>
    <s v="Travel_Rarely"/>
    <x v="2"/>
    <s v="Current Employees"/>
    <x v="1"/>
    <x v="1"/>
    <x v="673"/>
    <n v="939"/>
    <x v="1"/>
    <x v="1"/>
    <x v="0"/>
    <s v="Yes"/>
    <s v="Y"/>
    <n v="1"/>
    <n v="-2"/>
    <n v="0"/>
    <x v="3"/>
    <x v="1"/>
    <x v="1"/>
    <n v="0"/>
    <n v="1"/>
    <n v="1198"/>
    <n v="1"/>
    <x v="2"/>
    <x v="0"/>
    <n v="3"/>
    <n v="100"/>
    <n v="2"/>
    <n v="1"/>
    <n v="3"/>
    <x v="643"/>
    <n v="3339"/>
    <n v="3"/>
    <n v="11"/>
    <n v="3"/>
    <n v="2"/>
    <n v="80"/>
    <n v="0"/>
    <n v="6"/>
    <n v="3"/>
    <n v="3"/>
    <n v="2"/>
    <n v="0"/>
    <n v="2"/>
  </r>
  <r>
    <x v="1"/>
    <s v="Travel_Rarely"/>
    <x v="3"/>
    <s v="Current Employees"/>
    <x v="1"/>
    <x v="4"/>
    <x v="674"/>
    <n v="940"/>
    <x v="0"/>
    <x v="4"/>
    <x v="2"/>
    <s v="Yes"/>
    <s v="Y"/>
    <n v="3"/>
    <n v="-2"/>
    <n v="0"/>
    <x v="34"/>
    <x v="1"/>
    <x v="1"/>
    <n v="0"/>
    <n v="1"/>
    <n v="1272"/>
    <n v="5"/>
    <x v="3"/>
    <x v="0"/>
    <n v="4"/>
    <n v="37"/>
    <n v="2"/>
    <n v="3"/>
    <n v="4"/>
    <x v="644"/>
    <n v="9255"/>
    <n v="2"/>
    <n v="13"/>
    <n v="3"/>
    <n v="4"/>
    <n v="80"/>
    <n v="1"/>
    <n v="24"/>
    <n v="3"/>
    <n v="6"/>
    <n v="0"/>
    <n v="0"/>
    <n v="4"/>
  </r>
  <r>
    <x v="1"/>
    <s v="Travel_Rarely"/>
    <x v="2"/>
    <s v="Current Employees"/>
    <x v="0"/>
    <x v="0"/>
    <x v="675"/>
    <n v="941"/>
    <x v="1"/>
    <x v="6"/>
    <x v="1"/>
    <s v="No"/>
    <s v="Y"/>
    <n v="2"/>
    <n v="-2"/>
    <n v="0"/>
    <x v="12"/>
    <x v="1"/>
    <x v="1"/>
    <n v="0"/>
    <n v="1"/>
    <n v="154"/>
    <n v="7"/>
    <x v="2"/>
    <x v="0"/>
    <n v="2"/>
    <n v="41"/>
    <n v="2"/>
    <n v="1"/>
    <n v="1"/>
    <x v="645"/>
    <n v="11737"/>
    <n v="3"/>
    <n v="15"/>
    <n v="3"/>
    <n v="2"/>
    <n v="80"/>
    <n v="0"/>
    <n v="13"/>
    <n v="4"/>
    <n v="7"/>
    <n v="7"/>
    <n v="5"/>
    <n v="2"/>
  </r>
  <r>
    <x v="1"/>
    <s v="Travel_Rarely"/>
    <x v="0"/>
    <s v="Current Employees"/>
    <x v="1"/>
    <x v="0"/>
    <x v="676"/>
    <n v="942"/>
    <x v="0"/>
    <x v="4"/>
    <x v="1"/>
    <s v="Yes"/>
    <s v="Y"/>
    <n v="2"/>
    <n v="-2"/>
    <n v="0"/>
    <x v="10"/>
    <x v="1"/>
    <x v="1"/>
    <n v="0"/>
    <n v="1"/>
    <n v="1137"/>
    <n v="21"/>
    <x v="1"/>
    <x v="0"/>
    <n v="4"/>
    <n v="51"/>
    <n v="3"/>
    <n v="2"/>
    <n v="1"/>
    <x v="55"/>
    <n v="19170"/>
    <n v="1"/>
    <n v="25"/>
    <n v="4"/>
    <n v="4"/>
    <n v="80"/>
    <n v="1"/>
    <n v="10"/>
    <n v="1"/>
    <n v="10"/>
    <n v="6"/>
    <n v="0"/>
    <n v="7"/>
  </r>
  <r>
    <x v="1"/>
    <s v="Travel_Rarely"/>
    <x v="1"/>
    <s v="Current Employees"/>
    <x v="1"/>
    <x v="1"/>
    <x v="677"/>
    <n v="944"/>
    <x v="0"/>
    <x v="2"/>
    <x v="1"/>
    <s v="No"/>
    <s v="Y"/>
    <n v="3"/>
    <n v="-2"/>
    <n v="0"/>
    <x v="1"/>
    <x v="1"/>
    <x v="1"/>
    <n v="0"/>
    <n v="1"/>
    <n v="527"/>
    <n v="8"/>
    <x v="0"/>
    <x v="0"/>
    <n v="1"/>
    <n v="51"/>
    <n v="3"/>
    <n v="3"/>
    <n v="3"/>
    <x v="646"/>
    <n v="22477"/>
    <n v="4"/>
    <n v="11"/>
    <n v="3"/>
    <n v="3"/>
    <n v="80"/>
    <n v="1"/>
    <n v="29"/>
    <n v="2"/>
    <n v="26"/>
    <n v="9"/>
    <n v="1"/>
    <n v="7"/>
  </r>
  <r>
    <x v="1"/>
    <s v="Travel_Rarely"/>
    <x v="1"/>
    <s v="Current Employees"/>
    <x v="1"/>
    <x v="2"/>
    <x v="678"/>
    <n v="945"/>
    <x v="1"/>
    <x v="1"/>
    <x v="1"/>
    <s v="No"/>
    <s v="Y"/>
    <n v="2"/>
    <n v="-2"/>
    <n v="0"/>
    <x v="26"/>
    <x v="1"/>
    <x v="1"/>
    <n v="0"/>
    <n v="1"/>
    <n v="1469"/>
    <n v="20"/>
    <x v="2"/>
    <x v="0"/>
    <n v="4"/>
    <n v="51"/>
    <n v="3"/>
    <n v="1"/>
    <n v="3"/>
    <x v="647"/>
    <n v="5543"/>
    <n v="4"/>
    <n v="17"/>
    <n v="3"/>
    <n v="1"/>
    <n v="80"/>
    <n v="2"/>
    <n v="13"/>
    <n v="2"/>
    <n v="0"/>
    <n v="0"/>
    <n v="0"/>
    <n v="0"/>
  </r>
  <r>
    <x v="1"/>
    <s v="Non-Travel"/>
    <x v="2"/>
    <s v="Current Employees"/>
    <x v="0"/>
    <x v="3"/>
    <x v="679"/>
    <n v="947"/>
    <x v="0"/>
    <x v="0"/>
    <x v="1"/>
    <s v="No"/>
    <s v="Y"/>
    <n v="2"/>
    <n v="-2"/>
    <n v="0"/>
    <x v="12"/>
    <x v="1"/>
    <x v="1"/>
    <n v="0"/>
    <n v="1"/>
    <n v="1188"/>
    <n v="20"/>
    <x v="0"/>
    <x v="0"/>
    <n v="4"/>
    <n v="45"/>
    <n v="3"/>
    <n v="2"/>
    <n v="2"/>
    <x v="648"/>
    <n v="24406"/>
    <n v="1"/>
    <n v="13"/>
    <n v="3"/>
    <n v="4"/>
    <n v="80"/>
    <n v="1"/>
    <n v="9"/>
    <n v="2"/>
    <n v="9"/>
    <n v="8"/>
    <n v="0"/>
    <n v="0"/>
  </r>
  <r>
    <x v="1"/>
    <s v="Travel_Rarely"/>
    <x v="0"/>
    <s v="Current Employees"/>
    <x v="1"/>
    <x v="1"/>
    <x v="680"/>
    <n v="949"/>
    <x v="1"/>
    <x v="1"/>
    <x v="0"/>
    <s v="No"/>
    <s v="Y"/>
    <n v="6"/>
    <n v="-2"/>
    <n v="0"/>
    <x v="9"/>
    <x v="1"/>
    <x v="1"/>
    <n v="0"/>
    <n v="1"/>
    <n v="188"/>
    <n v="7"/>
    <x v="2"/>
    <x v="0"/>
    <n v="2"/>
    <n v="65"/>
    <n v="3"/>
    <n v="1"/>
    <n v="4"/>
    <x v="649"/>
    <n v="23293"/>
    <n v="2"/>
    <n v="18"/>
    <n v="3"/>
    <n v="3"/>
    <n v="80"/>
    <n v="0"/>
    <n v="8"/>
    <n v="3"/>
    <n v="6"/>
    <n v="2"/>
    <n v="0"/>
    <n v="1"/>
  </r>
  <r>
    <x v="1"/>
    <s v="Travel_Rarely"/>
    <x v="0"/>
    <s v="Current Employees"/>
    <x v="1"/>
    <x v="4"/>
    <x v="681"/>
    <n v="950"/>
    <x v="0"/>
    <x v="7"/>
    <x v="1"/>
    <s v="No"/>
    <s v="Y"/>
    <n v="3"/>
    <n v="-2"/>
    <n v="0"/>
    <x v="8"/>
    <x v="1"/>
    <x v="1"/>
    <n v="0"/>
    <n v="1"/>
    <n v="1333"/>
    <n v="1"/>
    <x v="3"/>
    <x v="0"/>
    <n v="4"/>
    <n v="80"/>
    <n v="3"/>
    <n v="3"/>
    <n v="4"/>
    <x v="650"/>
    <n v="16292"/>
    <n v="1"/>
    <n v="13"/>
    <n v="3"/>
    <n v="2"/>
    <n v="80"/>
    <n v="1"/>
    <n v="15"/>
    <n v="3"/>
    <n v="15"/>
    <n v="12"/>
    <n v="5"/>
    <n v="11"/>
  </r>
  <r>
    <x v="1"/>
    <s v="Non-Travel"/>
    <x v="2"/>
    <s v="Current Employees"/>
    <x v="1"/>
    <x v="0"/>
    <x v="682"/>
    <n v="951"/>
    <x v="0"/>
    <x v="2"/>
    <x v="1"/>
    <s v="No"/>
    <s v="Y"/>
    <n v="3"/>
    <n v="-2"/>
    <n v="0"/>
    <x v="5"/>
    <x v="1"/>
    <x v="1"/>
    <n v="0"/>
    <n v="1"/>
    <n v="1184"/>
    <n v="1"/>
    <x v="3"/>
    <x v="0"/>
    <n v="3"/>
    <n v="70"/>
    <n v="2"/>
    <n v="1"/>
    <n v="1"/>
    <x v="651"/>
    <n v="3974"/>
    <n v="6"/>
    <n v="20"/>
    <n v="4"/>
    <n v="3"/>
    <n v="80"/>
    <n v="0"/>
    <n v="5"/>
    <n v="3"/>
    <n v="3"/>
    <n v="0"/>
    <n v="0"/>
    <n v="2"/>
  </r>
  <r>
    <x v="0"/>
    <s v="Travel_Rarely"/>
    <x v="2"/>
    <s v="Ex-Employees"/>
    <x v="0"/>
    <x v="3"/>
    <x v="683"/>
    <n v="952"/>
    <x v="1"/>
    <x v="6"/>
    <x v="1"/>
    <s v="Yes"/>
    <s v="Y"/>
    <n v="2"/>
    <n v="-2"/>
    <n v="0"/>
    <x v="36"/>
    <x v="0"/>
    <x v="0"/>
    <n v="1"/>
    <n v="0"/>
    <n v="867"/>
    <n v="19"/>
    <x v="0"/>
    <x v="0"/>
    <n v="3"/>
    <n v="36"/>
    <n v="2"/>
    <n v="1"/>
    <n v="2"/>
    <x v="652"/>
    <n v="18798"/>
    <n v="1"/>
    <n v="18"/>
    <n v="3"/>
    <n v="3"/>
    <n v="80"/>
    <n v="3"/>
    <n v="1"/>
    <n v="3"/>
    <n v="1"/>
    <n v="0"/>
    <n v="0"/>
    <n v="0"/>
  </r>
  <r>
    <x v="1"/>
    <s v="Travel_Rarely"/>
    <x v="0"/>
    <s v="Current Employees"/>
    <x v="0"/>
    <x v="3"/>
    <x v="684"/>
    <n v="954"/>
    <x v="1"/>
    <x v="0"/>
    <x v="2"/>
    <s v="No"/>
    <s v="Y"/>
    <n v="2"/>
    <n v="-2"/>
    <n v="0"/>
    <x v="32"/>
    <x v="1"/>
    <x v="1"/>
    <n v="0"/>
    <n v="1"/>
    <n v="658"/>
    <n v="10"/>
    <x v="2"/>
    <x v="0"/>
    <n v="1"/>
    <n v="67"/>
    <n v="2"/>
    <n v="3"/>
    <n v="2"/>
    <x v="653"/>
    <n v="20652"/>
    <n v="2"/>
    <n v="12"/>
    <n v="3"/>
    <n v="2"/>
    <n v="80"/>
    <n v="1"/>
    <n v="11"/>
    <n v="2"/>
    <n v="1"/>
    <n v="0"/>
    <n v="0"/>
    <n v="0"/>
  </r>
  <r>
    <x v="1"/>
    <s v="Travel_Frequently"/>
    <x v="2"/>
    <s v="Current Employees"/>
    <x v="0"/>
    <x v="2"/>
    <x v="685"/>
    <n v="956"/>
    <x v="1"/>
    <x v="0"/>
    <x v="0"/>
    <s v="No"/>
    <s v="Y"/>
    <n v="2"/>
    <n v="-2"/>
    <n v="0"/>
    <x v="25"/>
    <x v="1"/>
    <x v="1"/>
    <n v="0"/>
    <n v="1"/>
    <n v="1283"/>
    <n v="1"/>
    <x v="3"/>
    <x v="0"/>
    <n v="3"/>
    <n v="52"/>
    <n v="2"/>
    <n v="2"/>
    <n v="3"/>
    <x v="654"/>
    <n v="11148"/>
    <n v="1"/>
    <n v="12"/>
    <n v="3"/>
    <n v="2"/>
    <n v="80"/>
    <n v="0"/>
    <n v="7"/>
    <n v="3"/>
    <n v="7"/>
    <n v="7"/>
    <n v="0"/>
    <n v="7"/>
  </r>
  <r>
    <x v="1"/>
    <s v="Travel_Rarely"/>
    <x v="0"/>
    <s v="Current Employees"/>
    <x v="1"/>
    <x v="2"/>
    <x v="686"/>
    <n v="957"/>
    <x v="1"/>
    <x v="2"/>
    <x v="0"/>
    <s v="Yes"/>
    <s v="Y"/>
    <n v="3"/>
    <n v="-2"/>
    <n v="0"/>
    <x v="0"/>
    <x v="1"/>
    <x v="1"/>
    <n v="0"/>
    <n v="1"/>
    <n v="263"/>
    <n v="6"/>
    <x v="3"/>
    <x v="0"/>
    <n v="4"/>
    <n v="59"/>
    <n v="3"/>
    <n v="1"/>
    <n v="3"/>
    <x v="655"/>
    <n v="3119"/>
    <n v="2"/>
    <n v="13"/>
    <n v="3"/>
    <n v="3"/>
    <n v="80"/>
    <n v="0"/>
    <n v="20"/>
    <n v="3"/>
    <n v="18"/>
    <n v="13"/>
    <n v="2"/>
    <n v="17"/>
  </r>
  <r>
    <x v="1"/>
    <s v="Travel_Rarely"/>
    <x v="0"/>
    <s v="Current Employees"/>
    <x v="1"/>
    <x v="2"/>
    <x v="687"/>
    <n v="958"/>
    <x v="1"/>
    <x v="2"/>
    <x v="0"/>
    <s v="No"/>
    <s v="Y"/>
    <n v="6"/>
    <n v="-2"/>
    <n v="0"/>
    <x v="9"/>
    <x v="1"/>
    <x v="1"/>
    <n v="0"/>
    <n v="1"/>
    <n v="938"/>
    <n v="2"/>
    <x v="2"/>
    <x v="0"/>
    <n v="3"/>
    <n v="79"/>
    <n v="3"/>
    <n v="1"/>
    <n v="3"/>
    <x v="656"/>
    <n v="12287"/>
    <n v="4"/>
    <n v="21"/>
    <n v="4"/>
    <n v="3"/>
    <n v="80"/>
    <n v="0"/>
    <n v="16"/>
    <n v="3"/>
    <n v="11"/>
    <n v="8"/>
    <n v="3"/>
    <n v="9"/>
  </r>
  <r>
    <x v="0"/>
    <s v="Travel_Rarely"/>
    <x v="4"/>
    <s v="Ex-Employees"/>
    <x v="0"/>
    <x v="1"/>
    <x v="688"/>
    <n v="959"/>
    <x v="1"/>
    <x v="6"/>
    <x v="0"/>
    <s v="Yes"/>
    <s v="Y"/>
    <n v="3"/>
    <n v="-2"/>
    <n v="0"/>
    <x v="37"/>
    <x v="0"/>
    <x v="0"/>
    <n v="1"/>
    <n v="0"/>
    <n v="419"/>
    <n v="21"/>
    <x v="3"/>
    <x v="0"/>
    <n v="4"/>
    <n v="37"/>
    <n v="2"/>
    <n v="1"/>
    <n v="3"/>
    <x v="657"/>
    <n v="9947"/>
    <n v="1"/>
    <n v="13"/>
    <n v="3"/>
    <n v="2"/>
    <n v="80"/>
    <n v="0"/>
    <n v="1"/>
    <n v="4"/>
    <n v="1"/>
    <n v="0"/>
    <n v="0"/>
    <n v="0"/>
  </r>
  <r>
    <x v="0"/>
    <s v="Travel_Rarely"/>
    <x v="4"/>
    <s v="Ex-Employees"/>
    <x v="1"/>
    <x v="4"/>
    <x v="689"/>
    <n v="960"/>
    <x v="1"/>
    <x v="2"/>
    <x v="0"/>
    <s v="No"/>
    <s v="Y"/>
    <n v="2"/>
    <n v="-2"/>
    <n v="0"/>
    <x v="35"/>
    <x v="0"/>
    <x v="0"/>
    <n v="1"/>
    <n v="0"/>
    <n v="129"/>
    <n v="4"/>
    <x v="3"/>
    <x v="0"/>
    <n v="4"/>
    <n v="84"/>
    <n v="3"/>
    <n v="1"/>
    <n v="4"/>
    <x v="620"/>
    <n v="13008"/>
    <n v="1"/>
    <n v="19"/>
    <n v="3"/>
    <n v="2"/>
    <n v="80"/>
    <n v="0"/>
    <n v="1"/>
    <n v="3"/>
    <n v="1"/>
    <n v="0"/>
    <n v="0"/>
    <n v="0"/>
  </r>
  <r>
    <x v="1"/>
    <s v="Travel_Rarely"/>
    <x v="2"/>
    <s v="Current Employees"/>
    <x v="1"/>
    <x v="2"/>
    <x v="690"/>
    <n v="961"/>
    <x v="0"/>
    <x v="4"/>
    <x v="1"/>
    <s v="Yes"/>
    <s v="Y"/>
    <n v="2"/>
    <n v="-2"/>
    <n v="0"/>
    <x v="12"/>
    <x v="1"/>
    <x v="1"/>
    <n v="0"/>
    <n v="1"/>
    <n v="616"/>
    <n v="12"/>
    <x v="3"/>
    <x v="0"/>
    <n v="4"/>
    <n v="41"/>
    <n v="3"/>
    <n v="2"/>
    <n v="4"/>
    <x v="658"/>
    <n v="17369"/>
    <n v="0"/>
    <n v="11"/>
    <n v="3"/>
    <n v="3"/>
    <n v="80"/>
    <n v="2"/>
    <n v="10"/>
    <n v="1"/>
    <n v="9"/>
    <n v="7"/>
    <n v="8"/>
    <n v="5"/>
  </r>
  <r>
    <x v="1"/>
    <s v="Travel_Frequently"/>
    <x v="0"/>
    <s v="Current Employees"/>
    <x v="1"/>
    <x v="2"/>
    <x v="691"/>
    <n v="964"/>
    <x v="1"/>
    <x v="1"/>
    <x v="2"/>
    <s v="Yes"/>
    <s v="Y"/>
    <n v="2"/>
    <n v="-2"/>
    <n v="0"/>
    <x v="32"/>
    <x v="1"/>
    <x v="1"/>
    <n v="0"/>
    <n v="1"/>
    <n v="1469"/>
    <n v="9"/>
    <x v="2"/>
    <x v="0"/>
    <n v="4"/>
    <n v="35"/>
    <n v="3"/>
    <n v="1"/>
    <n v="3"/>
    <x v="659"/>
    <n v="25063"/>
    <n v="8"/>
    <n v="14"/>
    <n v="3"/>
    <n v="4"/>
    <n v="80"/>
    <n v="1"/>
    <n v="3"/>
    <n v="3"/>
    <n v="1"/>
    <n v="1"/>
    <n v="0"/>
    <n v="0"/>
  </r>
  <r>
    <x v="1"/>
    <s v="Travel_Rarely"/>
    <x v="2"/>
    <s v="Current Employees"/>
    <x v="1"/>
    <x v="2"/>
    <x v="692"/>
    <n v="966"/>
    <x v="0"/>
    <x v="3"/>
    <x v="1"/>
    <s v="No"/>
    <s v="Y"/>
    <n v="2"/>
    <n v="-2"/>
    <n v="0"/>
    <x v="5"/>
    <x v="1"/>
    <x v="1"/>
    <n v="0"/>
    <n v="1"/>
    <n v="498"/>
    <n v="3"/>
    <x v="2"/>
    <x v="0"/>
    <n v="3"/>
    <n v="93"/>
    <n v="3"/>
    <n v="2"/>
    <n v="3"/>
    <x v="660"/>
    <n v="13554"/>
    <n v="1"/>
    <n v="12"/>
    <n v="3"/>
    <n v="3"/>
    <n v="80"/>
    <n v="1"/>
    <n v="8"/>
    <n v="4"/>
    <n v="8"/>
    <n v="7"/>
    <n v="6"/>
    <n v="3"/>
  </r>
  <r>
    <x v="0"/>
    <s v="Travel_Rarely"/>
    <x v="0"/>
    <s v="Ex-Employees"/>
    <x v="0"/>
    <x v="0"/>
    <x v="693"/>
    <n v="967"/>
    <x v="1"/>
    <x v="0"/>
    <x v="1"/>
    <s v="Yes"/>
    <s v="Y"/>
    <n v="6"/>
    <n v="-2"/>
    <n v="0"/>
    <x v="9"/>
    <x v="0"/>
    <x v="0"/>
    <n v="1"/>
    <n v="0"/>
    <n v="530"/>
    <n v="3"/>
    <x v="1"/>
    <x v="0"/>
    <n v="3"/>
    <n v="51"/>
    <n v="2"/>
    <n v="3"/>
    <n v="1"/>
    <x v="661"/>
    <n v="5518"/>
    <n v="1"/>
    <n v="11"/>
    <n v="3"/>
    <n v="1"/>
    <n v="80"/>
    <n v="1"/>
    <n v="16"/>
    <n v="3"/>
    <n v="16"/>
    <n v="7"/>
    <n v="3"/>
    <n v="7"/>
  </r>
  <r>
    <x v="1"/>
    <s v="Travel_Rarely"/>
    <x v="2"/>
    <s v="Current Employees"/>
    <x v="1"/>
    <x v="0"/>
    <x v="694"/>
    <n v="969"/>
    <x v="0"/>
    <x v="4"/>
    <x v="0"/>
    <s v="No"/>
    <s v="Y"/>
    <n v="3"/>
    <n v="-2"/>
    <n v="0"/>
    <x v="3"/>
    <x v="1"/>
    <x v="1"/>
    <n v="0"/>
    <n v="1"/>
    <n v="1069"/>
    <n v="1"/>
    <x v="3"/>
    <x v="0"/>
    <n v="2"/>
    <n v="42"/>
    <n v="2"/>
    <n v="2"/>
    <n v="1"/>
    <x v="662"/>
    <n v="12291"/>
    <n v="0"/>
    <n v="14"/>
    <n v="3"/>
    <n v="1"/>
    <n v="80"/>
    <n v="0"/>
    <n v="6"/>
    <n v="3"/>
    <n v="5"/>
    <n v="0"/>
    <n v="1"/>
    <n v="4"/>
  </r>
  <r>
    <x v="0"/>
    <s v="Travel_Rarely"/>
    <x v="0"/>
    <s v="Ex-Employees"/>
    <x v="0"/>
    <x v="0"/>
    <x v="695"/>
    <n v="970"/>
    <x v="1"/>
    <x v="0"/>
    <x v="1"/>
    <s v="No"/>
    <s v="Y"/>
    <n v="2"/>
    <n v="-2"/>
    <n v="0"/>
    <x v="2"/>
    <x v="0"/>
    <x v="0"/>
    <n v="1"/>
    <n v="0"/>
    <n v="625"/>
    <n v="1"/>
    <x v="2"/>
    <x v="0"/>
    <n v="1"/>
    <n v="46"/>
    <n v="2"/>
    <n v="3"/>
    <n v="1"/>
    <x v="219"/>
    <n v="14922"/>
    <n v="5"/>
    <n v="11"/>
    <n v="3"/>
    <n v="3"/>
    <n v="80"/>
    <n v="0"/>
    <n v="17"/>
    <n v="1"/>
    <n v="14"/>
    <n v="1"/>
    <n v="11"/>
    <n v="7"/>
  </r>
  <r>
    <x v="1"/>
    <s v="Non-Travel"/>
    <x v="1"/>
    <s v="Current Employees"/>
    <x v="1"/>
    <x v="0"/>
    <x v="696"/>
    <n v="972"/>
    <x v="1"/>
    <x v="2"/>
    <x v="1"/>
    <s v="No"/>
    <s v="Y"/>
    <n v="5"/>
    <n v="-2"/>
    <n v="0"/>
    <x v="28"/>
    <x v="1"/>
    <x v="1"/>
    <n v="0"/>
    <n v="1"/>
    <n v="805"/>
    <n v="4"/>
    <x v="0"/>
    <x v="0"/>
    <n v="3"/>
    <n v="57"/>
    <n v="3"/>
    <n v="2"/>
    <n v="1"/>
    <x v="663"/>
    <n v="23163"/>
    <n v="1"/>
    <n v="12"/>
    <n v="3"/>
    <n v="2"/>
    <n v="80"/>
    <n v="0"/>
    <n v="9"/>
    <n v="2"/>
    <n v="9"/>
    <n v="7"/>
    <n v="0"/>
    <n v="8"/>
  </r>
  <r>
    <x v="1"/>
    <s v="Travel_Frequently"/>
    <x v="2"/>
    <s v="Current Employees"/>
    <x v="0"/>
    <x v="4"/>
    <x v="697"/>
    <n v="974"/>
    <x v="0"/>
    <x v="6"/>
    <x v="1"/>
    <s v="No"/>
    <s v="Y"/>
    <n v="5"/>
    <n v="-2"/>
    <n v="0"/>
    <x v="11"/>
    <x v="1"/>
    <x v="1"/>
    <n v="0"/>
    <n v="1"/>
    <n v="1404"/>
    <n v="20"/>
    <x v="3"/>
    <x v="0"/>
    <n v="4"/>
    <n v="84"/>
    <n v="3"/>
    <n v="1"/>
    <n v="4"/>
    <x v="664"/>
    <n v="18203"/>
    <n v="1"/>
    <n v="15"/>
    <n v="3"/>
    <n v="2"/>
    <n v="80"/>
    <n v="1"/>
    <n v="3"/>
    <n v="3"/>
    <n v="3"/>
    <n v="1"/>
    <n v="0"/>
    <n v="2"/>
  </r>
  <r>
    <x v="1"/>
    <s v="Travel_Rarely"/>
    <x v="0"/>
    <s v="Current Employees"/>
    <x v="0"/>
    <x v="2"/>
    <x v="698"/>
    <n v="975"/>
    <x v="0"/>
    <x v="0"/>
    <x v="1"/>
    <s v="No"/>
    <s v="Y"/>
    <n v="3"/>
    <n v="-2"/>
    <n v="0"/>
    <x v="10"/>
    <x v="1"/>
    <x v="1"/>
    <n v="0"/>
    <n v="1"/>
    <n v="1219"/>
    <n v="18"/>
    <x v="3"/>
    <x v="0"/>
    <n v="3"/>
    <n v="86"/>
    <n v="3"/>
    <n v="2"/>
    <n v="3"/>
    <x v="665"/>
    <n v="6179"/>
    <n v="1"/>
    <n v="16"/>
    <n v="3"/>
    <n v="2"/>
    <n v="80"/>
    <n v="0"/>
    <n v="5"/>
    <n v="3"/>
    <n v="5"/>
    <n v="2"/>
    <n v="1"/>
    <n v="0"/>
  </r>
  <r>
    <x v="1"/>
    <s v="Travel_Rarely"/>
    <x v="1"/>
    <s v="Current Employees"/>
    <x v="1"/>
    <x v="0"/>
    <x v="699"/>
    <n v="976"/>
    <x v="1"/>
    <x v="5"/>
    <x v="1"/>
    <s v="No"/>
    <s v="Y"/>
    <n v="2"/>
    <n v="-2"/>
    <n v="0"/>
    <x v="39"/>
    <x v="1"/>
    <x v="1"/>
    <n v="0"/>
    <n v="1"/>
    <n v="1053"/>
    <n v="1"/>
    <x v="0"/>
    <x v="0"/>
    <n v="4"/>
    <n v="70"/>
    <n v="3"/>
    <n v="4"/>
    <n v="1"/>
    <x v="666"/>
    <n v="13829"/>
    <n v="2"/>
    <n v="15"/>
    <n v="3"/>
    <n v="2"/>
    <n v="80"/>
    <n v="1"/>
    <n v="26"/>
    <n v="2"/>
    <n v="9"/>
    <n v="8"/>
    <n v="7"/>
    <n v="8"/>
  </r>
  <r>
    <x v="0"/>
    <s v="Travel_Rarely"/>
    <x v="3"/>
    <s v="Ex-Employees"/>
    <x v="1"/>
    <x v="4"/>
    <x v="700"/>
    <n v="977"/>
    <x v="1"/>
    <x v="1"/>
    <x v="0"/>
    <s v="No"/>
    <s v="Y"/>
    <n v="4"/>
    <n v="-2"/>
    <n v="0"/>
    <x v="34"/>
    <x v="0"/>
    <x v="0"/>
    <n v="1"/>
    <n v="0"/>
    <n v="289"/>
    <n v="2"/>
    <x v="3"/>
    <x v="0"/>
    <n v="4"/>
    <n v="51"/>
    <n v="3"/>
    <n v="1"/>
    <n v="4"/>
    <x v="667"/>
    <n v="26227"/>
    <n v="4"/>
    <n v="24"/>
    <n v="4"/>
    <n v="1"/>
    <n v="80"/>
    <n v="0"/>
    <n v="7"/>
    <n v="3"/>
    <n v="1"/>
    <n v="0"/>
    <n v="0"/>
    <n v="0"/>
  </r>
  <r>
    <x v="1"/>
    <s v="Travel_Rarely"/>
    <x v="1"/>
    <s v="Current Employees"/>
    <x v="0"/>
    <x v="2"/>
    <x v="701"/>
    <n v="981"/>
    <x v="1"/>
    <x v="5"/>
    <x v="2"/>
    <s v="No"/>
    <s v="Y"/>
    <n v="3"/>
    <n v="-2"/>
    <n v="0"/>
    <x v="16"/>
    <x v="1"/>
    <x v="1"/>
    <n v="0"/>
    <n v="1"/>
    <n v="1376"/>
    <n v="2"/>
    <x v="0"/>
    <x v="0"/>
    <n v="3"/>
    <n v="45"/>
    <n v="3"/>
    <n v="4"/>
    <n v="3"/>
    <x v="668"/>
    <n v="13938"/>
    <n v="6"/>
    <n v="13"/>
    <n v="3"/>
    <n v="3"/>
    <n v="80"/>
    <n v="1"/>
    <n v="22"/>
    <n v="4"/>
    <n v="17"/>
    <n v="13"/>
    <n v="15"/>
    <n v="2"/>
  </r>
  <r>
    <x v="1"/>
    <s v="Travel_Rarely"/>
    <x v="2"/>
    <s v="Current Employees"/>
    <x v="0"/>
    <x v="1"/>
    <x v="702"/>
    <n v="982"/>
    <x v="1"/>
    <x v="0"/>
    <x v="2"/>
    <s v="No"/>
    <s v="Y"/>
    <n v="2"/>
    <n v="-2"/>
    <n v="0"/>
    <x v="7"/>
    <x v="1"/>
    <x v="1"/>
    <n v="0"/>
    <n v="1"/>
    <n v="231"/>
    <n v="8"/>
    <x v="0"/>
    <x v="0"/>
    <n v="3"/>
    <n v="62"/>
    <n v="3"/>
    <n v="3"/>
    <n v="3"/>
    <x v="669"/>
    <n v="9977"/>
    <n v="5"/>
    <n v="11"/>
    <n v="3"/>
    <n v="1"/>
    <n v="80"/>
    <n v="1"/>
    <n v="10"/>
    <n v="4"/>
    <n v="8"/>
    <n v="4"/>
    <n v="7"/>
    <n v="7"/>
  </r>
  <r>
    <x v="1"/>
    <s v="Non-Travel"/>
    <x v="0"/>
    <s v="Current Employees"/>
    <x v="0"/>
    <x v="4"/>
    <x v="703"/>
    <n v="983"/>
    <x v="0"/>
    <x v="0"/>
    <x v="0"/>
    <s v="Yes"/>
    <s v="Y"/>
    <n v="1"/>
    <n v="-2"/>
    <n v="0"/>
    <x v="8"/>
    <x v="1"/>
    <x v="1"/>
    <n v="0"/>
    <n v="1"/>
    <n v="152"/>
    <n v="10"/>
    <x v="3"/>
    <x v="0"/>
    <n v="4"/>
    <n v="85"/>
    <n v="3"/>
    <n v="2"/>
    <n v="4"/>
    <x v="670"/>
    <n v="19899"/>
    <n v="1"/>
    <n v="13"/>
    <n v="3"/>
    <n v="2"/>
    <n v="80"/>
    <n v="0"/>
    <n v="6"/>
    <n v="3"/>
    <n v="5"/>
    <n v="3"/>
    <n v="1"/>
    <n v="3"/>
  </r>
  <r>
    <x v="1"/>
    <s v="Travel_Rarely"/>
    <x v="0"/>
    <s v="Current Employees"/>
    <x v="0"/>
    <x v="0"/>
    <x v="704"/>
    <n v="984"/>
    <x v="1"/>
    <x v="0"/>
    <x v="2"/>
    <s v="No"/>
    <s v="Y"/>
    <n v="2"/>
    <n v="-2"/>
    <n v="0"/>
    <x v="10"/>
    <x v="1"/>
    <x v="1"/>
    <n v="0"/>
    <n v="1"/>
    <n v="882"/>
    <n v="3"/>
    <x v="2"/>
    <x v="0"/>
    <n v="4"/>
    <n v="92"/>
    <n v="3"/>
    <n v="3"/>
    <n v="1"/>
    <x v="671"/>
    <n v="6812"/>
    <n v="6"/>
    <n v="13"/>
    <n v="3"/>
    <n v="2"/>
    <n v="80"/>
    <n v="1"/>
    <n v="12"/>
    <n v="3"/>
    <n v="10"/>
    <n v="9"/>
    <n v="0"/>
    <n v="8"/>
  </r>
  <r>
    <x v="1"/>
    <s v="Travel_Rarely"/>
    <x v="0"/>
    <s v="Current Employees"/>
    <x v="0"/>
    <x v="0"/>
    <x v="705"/>
    <n v="985"/>
    <x v="1"/>
    <x v="0"/>
    <x v="0"/>
    <s v="No"/>
    <s v="Y"/>
    <n v="3"/>
    <n v="-2"/>
    <n v="0"/>
    <x v="22"/>
    <x v="1"/>
    <x v="1"/>
    <n v="0"/>
    <n v="1"/>
    <n v="903"/>
    <n v="2"/>
    <x v="4"/>
    <x v="0"/>
    <n v="1"/>
    <n v="41"/>
    <n v="4"/>
    <n v="3"/>
    <n v="1"/>
    <x v="672"/>
    <n v="2560"/>
    <n v="0"/>
    <n v="18"/>
    <n v="3"/>
    <n v="4"/>
    <n v="80"/>
    <n v="0"/>
    <n v="9"/>
    <n v="3"/>
    <n v="8"/>
    <n v="7"/>
    <n v="0"/>
    <n v="7"/>
  </r>
  <r>
    <x v="0"/>
    <s v="Non-Travel"/>
    <x v="0"/>
    <s v="Ex-Employees"/>
    <x v="0"/>
    <x v="0"/>
    <x v="706"/>
    <n v="986"/>
    <x v="0"/>
    <x v="0"/>
    <x v="0"/>
    <s v="Yes"/>
    <s v="Y"/>
    <n v="2"/>
    <n v="-2"/>
    <n v="0"/>
    <x v="32"/>
    <x v="0"/>
    <x v="0"/>
    <n v="1"/>
    <n v="0"/>
    <n v="1479"/>
    <n v="24"/>
    <x v="3"/>
    <x v="0"/>
    <n v="2"/>
    <n v="100"/>
    <n v="4"/>
    <n v="4"/>
    <n v="1"/>
    <x v="673"/>
    <n v="17071"/>
    <n v="4"/>
    <n v="16"/>
    <n v="3"/>
    <n v="4"/>
    <n v="80"/>
    <n v="0"/>
    <n v="22"/>
    <n v="2"/>
    <n v="1"/>
    <n v="0"/>
    <n v="0"/>
    <n v="0"/>
  </r>
  <r>
    <x v="1"/>
    <s v="Travel_Frequently"/>
    <x v="1"/>
    <s v="Current Employees"/>
    <x v="1"/>
    <x v="2"/>
    <x v="707"/>
    <n v="987"/>
    <x v="1"/>
    <x v="3"/>
    <x v="2"/>
    <s v="Yes"/>
    <s v="Y"/>
    <n v="3"/>
    <n v="-2"/>
    <n v="0"/>
    <x v="40"/>
    <x v="1"/>
    <x v="1"/>
    <n v="0"/>
    <n v="1"/>
    <n v="1379"/>
    <n v="16"/>
    <x v="2"/>
    <x v="0"/>
    <n v="3"/>
    <n v="64"/>
    <n v="4"/>
    <n v="2"/>
    <n v="3"/>
    <x v="674"/>
    <n v="6759"/>
    <n v="1"/>
    <n v="19"/>
    <n v="3"/>
    <n v="3"/>
    <n v="80"/>
    <n v="0"/>
    <n v="20"/>
    <n v="4"/>
    <n v="19"/>
    <n v="10"/>
    <n v="2"/>
    <n v="7"/>
  </r>
  <r>
    <x v="1"/>
    <s v="Non-Travel"/>
    <x v="0"/>
    <s v="Current Employees"/>
    <x v="0"/>
    <x v="4"/>
    <x v="708"/>
    <n v="990"/>
    <x v="1"/>
    <x v="0"/>
    <x v="2"/>
    <s v="No"/>
    <s v="Y"/>
    <n v="3"/>
    <n v="-2"/>
    <n v="0"/>
    <x v="9"/>
    <x v="1"/>
    <x v="1"/>
    <n v="0"/>
    <n v="1"/>
    <n v="1229"/>
    <n v="8"/>
    <x v="2"/>
    <x v="0"/>
    <n v="4"/>
    <n v="84"/>
    <n v="3"/>
    <n v="2"/>
    <n v="4"/>
    <x v="675"/>
    <n v="25952"/>
    <n v="4"/>
    <n v="13"/>
    <n v="3"/>
    <n v="4"/>
    <n v="80"/>
    <n v="2"/>
    <n v="12"/>
    <n v="3"/>
    <n v="7"/>
    <n v="7"/>
    <n v="0"/>
    <n v="7"/>
  </r>
  <r>
    <x v="0"/>
    <s v="Non-Travel"/>
    <x v="2"/>
    <s v="Ex-Employees"/>
    <x v="1"/>
    <x v="2"/>
    <x v="709"/>
    <n v="991"/>
    <x v="1"/>
    <x v="1"/>
    <x v="0"/>
    <s v="Yes"/>
    <s v="Y"/>
    <n v="0"/>
    <n v="-2"/>
    <n v="0"/>
    <x v="12"/>
    <x v="0"/>
    <x v="0"/>
    <n v="1"/>
    <n v="0"/>
    <n v="335"/>
    <n v="9"/>
    <x v="0"/>
    <x v="0"/>
    <n v="3"/>
    <n v="46"/>
    <n v="2"/>
    <n v="1"/>
    <n v="3"/>
    <x v="676"/>
    <n v="10322"/>
    <n v="0"/>
    <n v="22"/>
    <n v="4"/>
    <n v="1"/>
    <n v="80"/>
    <n v="0"/>
    <n v="4"/>
    <n v="3"/>
    <n v="3"/>
    <n v="2"/>
    <n v="1"/>
    <n v="2"/>
  </r>
  <r>
    <x v="1"/>
    <s v="Non-Travel"/>
    <x v="2"/>
    <s v="Current Employees"/>
    <x v="0"/>
    <x v="0"/>
    <x v="710"/>
    <n v="992"/>
    <x v="1"/>
    <x v="5"/>
    <x v="0"/>
    <s v="No"/>
    <s v="Y"/>
    <n v="2"/>
    <n v="-2"/>
    <n v="0"/>
    <x v="3"/>
    <x v="1"/>
    <x v="1"/>
    <n v="0"/>
    <n v="1"/>
    <n v="722"/>
    <n v="17"/>
    <x v="3"/>
    <x v="0"/>
    <n v="4"/>
    <n v="38"/>
    <n v="3"/>
    <n v="4"/>
    <n v="1"/>
    <x v="677"/>
    <n v="20489"/>
    <n v="1"/>
    <n v="11"/>
    <n v="3"/>
    <n v="4"/>
    <n v="80"/>
    <n v="0"/>
    <n v="10"/>
    <n v="3"/>
    <n v="10"/>
    <n v="8"/>
    <n v="6"/>
    <n v="0"/>
  </r>
  <r>
    <x v="0"/>
    <s v="Travel_Rarely"/>
    <x v="2"/>
    <s v="Ex-Employees"/>
    <x v="1"/>
    <x v="0"/>
    <x v="711"/>
    <n v="994"/>
    <x v="0"/>
    <x v="1"/>
    <x v="0"/>
    <s v="Yes"/>
    <s v="Y"/>
    <n v="5"/>
    <n v="-2"/>
    <n v="0"/>
    <x v="11"/>
    <x v="0"/>
    <x v="0"/>
    <n v="1"/>
    <n v="0"/>
    <n v="906"/>
    <n v="10"/>
    <x v="3"/>
    <x v="0"/>
    <n v="4"/>
    <n v="92"/>
    <n v="2"/>
    <n v="1"/>
    <n v="1"/>
    <x v="639"/>
    <n v="11479"/>
    <n v="6"/>
    <n v="20"/>
    <n v="4"/>
    <n v="3"/>
    <n v="80"/>
    <n v="0"/>
    <n v="3"/>
    <n v="3"/>
    <n v="0"/>
    <n v="0"/>
    <n v="0"/>
    <n v="0"/>
  </r>
  <r>
    <x v="1"/>
    <s v="Travel_Rarely"/>
    <x v="2"/>
    <s v="Current Employees"/>
    <x v="1"/>
    <x v="0"/>
    <x v="712"/>
    <n v="995"/>
    <x v="0"/>
    <x v="1"/>
    <x v="0"/>
    <s v="No"/>
    <s v="Y"/>
    <n v="4"/>
    <n v="-2"/>
    <n v="0"/>
    <x v="3"/>
    <x v="1"/>
    <x v="1"/>
    <n v="0"/>
    <n v="1"/>
    <n v="461"/>
    <n v="13"/>
    <x v="1"/>
    <x v="0"/>
    <n v="2"/>
    <n v="53"/>
    <n v="3"/>
    <n v="1"/>
    <n v="1"/>
    <x v="138"/>
    <n v="17241"/>
    <n v="3"/>
    <n v="18"/>
    <n v="3"/>
    <n v="1"/>
    <n v="80"/>
    <n v="0"/>
    <n v="5"/>
    <n v="3"/>
    <n v="3"/>
    <n v="2"/>
    <n v="0"/>
    <n v="2"/>
  </r>
  <r>
    <x v="1"/>
    <s v="Travel_Rarely"/>
    <x v="1"/>
    <s v="Current Employees"/>
    <x v="1"/>
    <x v="2"/>
    <x v="713"/>
    <n v="996"/>
    <x v="0"/>
    <x v="2"/>
    <x v="2"/>
    <s v="No"/>
    <s v="Y"/>
    <n v="2"/>
    <n v="-2"/>
    <n v="0"/>
    <x v="28"/>
    <x v="1"/>
    <x v="1"/>
    <n v="0"/>
    <n v="1"/>
    <n v="974"/>
    <n v="1"/>
    <x v="2"/>
    <x v="0"/>
    <n v="4"/>
    <n v="91"/>
    <n v="3"/>
    <n v="1"/>
    <n v="4"/>
    <x v="678"/>
    <n v="11005"/>
    <n v="3"/>
    <n v="14"/>
    <n v="3"/>
    <n v="4"/>
    <n v="80"/>
    <n v="2"/>
    <n v="8"/>
    <n v="3"/>
    <n v="5"/>
    <n v="3"/>
    <n v="0"/>
    <n v="2"/>
  </r>
  <r>
    <x v="1"/>
    <s v="Travel_Rarely"/>
    <x v="1"/>
    <s v="Current Employees"/>
    <x v="1"/>
    <x v="2"/>
    <x v="714"/>
    <n v="997"/>
    <x v="1"/>
    <x v="7"/>
    <x v="2"/>
    <s v="No"/>
    <s v="Y"/>
    <n v="1"/>
    <n v="-2"/>
    <n v="0"/>
    <x v="24"/>
    <x v="1"/>
    <x v="1"/>
    <n v="0"/>
    <n v="1"/>
    <n v="1126"/>
    <n v="1"/>
    <x v="0"/>
    <x v="0"/>
    <n v="4"/>
    <n v="66"/>
    <n v="3"/>
    <n v="4"/>
    <n v="4"/>
    <x v="679"/>
    <n v="6615"/>
    <n v="9"/>
    <n v="22"/>
    <n v="4"/>
    <n v="3"/>
    <n v="80"/>
    <n v="1"/>
    <n v="32"/>
    <n v="2"/>
    <n v="5"/>
    <n v="4"/>
    <n v="1"/>
    <n v="3"/>
  </r>
  <r>
    <x v="1"/>
    <s v="Travel_Frequently"/>
    <x v="2"/>
    <s v="Current Employees"/>
    <x v="1"/>
    <x v="1"/>
    <x v="715"/>
    <n v="998"/>
    <x v="0"/>
    <x v="4"/>
    <x v="1"/>
    <s v="Yes"/>
    <s v="Y"/>
    <n v="2"/>
    <n v="-2"/>
    <n v="0"/>
    <x v="3"/>
    <x v="1"/>
    <x v="1"/>
    <n v="0"/>
    <n v="1"/>
    <n v="827"/>
    <n v="1"/>
    <x v="2"/>
    <x v="0"/>
    <n v="3"/>
    <n v="84"/>
    <n v="4"/>
    <n v="2"/>
    <n v="3"/>
    <x v="680"/>
    <n v="20161"/>
    <n v="1"/>
    <n v="13"/>
    <n v="3"/>
    <n v="1"/>
    <n v="80"/>
    <n v="1"/>
    <n v="6"/>
    <n v="3"/>
    <n v="6"/>
    <n v="5"/>
    <n v="1"/>
    <n v="2"/>
  </r>
  <r>
    <x v="1"/>
    <s v="Travel_Frequently"/>
    <x v="0"/>
    <s v="Current Employees"/>
    <x v="1"/>
    <x v="2"/>
    <x v="716"/>
    <n v="999"/>
    <x v="1"/>
    <x v="7"/>
    <x v="2"/>
    <s v="No"/>
    <s v="Y"/>
    <n v="2"/>
    <n v="-2"/>
    <n v="0"/>
    <x v="0"/>
    <x v="1"/>
    <x v="1"/>
    <n v="0"/>
    <n v="1"/>
    <n v="840"/>
    <n v="9"/>
    <x v="3"/>
    <x v="0"/>
    <n v="1"/>
    <n v="64"/>
    <n v="3"/>
    <n v="5"/>
    <n v="3"/>
    <x v="681"/>
    <n v="3735"/>
    <n v="2"/>
    <n v="17"/>
    <n v="3"/>
    <n v="2"/>
    <n v="80"/>
    <n v="1"/>
    <n v="21"/>
    <n v="4"/>
    <n v="18"/>
    <n v="16"/>
    <n v="0"/>
    <n v="11"/>
  </r>
  <r>
    <x v="1"/>
    <s v="Travel_Rarely"/>
    <x v="2"/>
    <s v="Current Employees"/>
    <x v="1"/>
    <x v="4"/>
    <x v="717"/>
    <n v="1001"/>
    <x v="0"/>
    <x v="2"/>
    <x v="1"/>
    <s v="No"/>
    <s v="Y"/>
    <n v="2"/>
    <n v="-2"/>
    <n v="0"/>
    <x v="4"/>
    <x v="1"/>
    <x v="1"/>
    <n v="0"/>
    <n v="1"/>
    <n v="1134"/>
    <n v="16"/>
    <x v="2"/>
    <x v="0"/>
    <n v="4"/>
    <n v="37"/>
    <n v="3"/>
    <n v="1"/>
    <n v="4"/>
    <x v="682"/>
    <n v="12086"/>
    <n v="9"/>
    <n v="14"/>
    <n v="3"/>
    <n v="2"/>
    <n v="80"/>
    <n v="1"/>
    <n v="4"/>
    <n v="3"/>
    <n v="2"/>
    <n v="2"/>
    <n v="2"/>
    <n v="2"/>
  </r>
  <r>
    <x v="1"/>
    <s v="Non-Travel"/>
    <x v="1"/>
    <s v="Current Employees"/>
    <x v="1"/>
    <x v="0"/>
    <x v="718"/>
    <n v="1002"/>
    <x v="1"/>
    <x v="2"/>
    <x v="1"/>
    <s v="Yes"/>
    <s v="Y"/>
    <n v="2"/>
    <n v="-2"/>
    <n v="0"/>
    <x v="28"/>
    <x v="1"/>
    <x v="1"/>
    <n v="0"/>
    <n v="1"/>
    <n v="248"/>
    <n v="23"/>
    <x v="0"/>
    <x v="0"/>
    <n v="4"/>
    <n v="42"/>
    <n v="3"/>
    <n v="2"/>
    <n v="1"/>
    <x v="683"/>
    <n v="14039"/>
    <n v="1"/>
    <n v="15"/>
    <n v="3"/>
    <n v="3"/>
    <n v="80"/>
    <n v="1"/>
    <n v="9"/>
    <n v="3"/>
    <n v="9"/>
    <n v="8"/>
    <n v="0"/>
    <n v="8"/>
  </r>
  <r>
    <x v="1"/>
    <s v="Travel_Rarely"/>
    <x v="1"/>
    <s v="Current Employees"/>
    <x v="0"/>
    <x v="0"/>
    <x v="719"/>
    <n v="1003"/>
    <x v="0"/>
    <x v="0"/>
    <x v="0"/>
    <s v="Yes"/>
    <s v="Y"/>
    <n v="0"/>
    <n v="-2"/>
    <n v="0"/>
    <x v="40"/>
    <x v="1"/>
    <x v="1"/>
    <n v="0"/>
    <n v="1"/>
    <n v="955"/>
    <n v="4"/>
    <x v="0"/>
    <x v="0"/>
    <n v="4"/>
    <n v="83"/>
    <n v="3"/>
    <n v="2"/>
    <n v="1"/>
    <x v="684"/>
    <n v="8571"/>
    <n v="1"/>
    <n v="17"/>
    <n v="3"/>
    <n v="3"/>
    <n v="80"/>
    <n v="0"/>
    <n v="9"/>
    <n v="3"/>
    <n v="9"/>
    <n v="0"/>
    <n v="0"/>
    <n v="7"/>
  </r>
  <r>
    <x v="0"/>
    <s v="Travel_Rarely"/>
    <x v="2"/>
    <s v="Ex-Employees"/>
    <x v="1"/>
    <x v="0"/>
    <x v="720"/>
    <n v="1004"/>
    <x v="0"/>
    <x v="1"/>
    <x v="1"/>
    <s v="Yes"/>
    <s v="Y"/>
    <n v="2"/>
    <n v="-2"/>
    <n v="0"/>
    <x v="7"/>
    <x v="0"/>
    <x v="0"/>
    <n v="1"/>
    <n v="0"/>
    <n v="138"/>
    <n v="22"/>
    <x v="3"/>
    <x v="0"/>
    <n v="1"/>
    <n v="48"/>
    <n v="3"/>
    <n v="1"/>
    <n v="1"/>
    <x v="685"/>
    <n v="11539"/>
    <n v="4"/>
    <n v="11"/>
    <n v="3"/>
    <n v="2"/>
    <n v="80"/>
    <n v="0"/>
    <n v="7"/>
    <n v="3"/>
    <n v="5"/>
    <n v="2"/>
    <n v="0"/>
    <n v="1"/>
  </r>
  <r>
    <x v="1"/>
    <s v="Travel_Rarely"/>
    <x v="1"/>
    <s v="Current Employees"/>
    <x v="1"/>
    <x v="0"/>
    <x v="721"/>
    <n v="1005"/>
    <x v="1"/>
    <x v="3"/>
    <x v="1"/>
    <s v="Yes"/>
    <s v="Y"/>
    <n v="2"/>
    <n v="-2"/>
    <n v="0"/>
    <x v="24"/>
    <x v="1"/>
    <x v="1"/>
    <n v="0"/>
    <n v="1"/>
    <n v="939"/>
    <n v="24"/>
    <x v="3"/>
    <x v="0"/>
    <n v="4"/>
    <n v="95"/>
    <n v="3"/>
    <n v="4"/>
    <n v="1"/>
    <x v="686"/>
    <n v="4161"/>
    <n v="3"/>
    <n v="18"/>
    <n v="3"/>
    <n v="4"/>
    <n v="80"/>
    <n v="1"/>
    <n v="22"/>
    <n v="3"/>
    <n v="12"/>
    <n v="11"/>
    <n v="1"/>
    <n v="5"/>
  </r>
  <r>
    <x v="1"/>
    <s v="Travel_Frequently"/>
    <x v="0"/>
    <s v="Current Employees"/>
    <x v="1"/>
    <x v="2"/>
    <x v="722"/>
    <n v="1006"/>
    <x v="1"/>
    <x v="1"/>
    <x v="1"/>
    <s v="No"/>
    <s v="Y"/>
    <n v="0"/>
    <n v="-2"/>
    <n v="0"/>
    <x v="8"/>
    <x v="1"/>
    <x v="1"/>
    <n v="0"/>
    <n v="1"/>
    <n v="1391"/>
    <n v="10"/>
    <x v="1"/>
    <x v="0"/>
    <n v="3"/>
    <n v="66"/>
    <n v="3"/>
    <n v="1"/>
    <n v="3"/>
    <x v="687"/>
    <n v="12127"/>
    <n v="0"/>
    <n v="17"/>
    <n v="3"/>
    <n v="2"/>
    <n v="80"/>
    <n v="1"/>
    <n v="3"/>
    <n v="2"/>
    <n v="2"/>
    <n v="1"/>
    <n v="0"/>
    <n v="2"/>
  </r>
  <r>
    <x v="1"/>
    <s v="Travel_Rarely"/>
    <x v="1"/>
    <s v="Current Employees"/>
    <x v="1"/>
    <x v="2"/>
    <x v="723"/>
    <n v="1007"/>
    <x v="1"/>
    <x v="3"/>
    <x v="2"/>
    <s v="No"/>
    <s v="Y"/>
    <n v="3"/>
    <n v="-2"/>
    <n v="0"/>
    <x v="21"/>
    <x v="1"/>
    <x v="1"/>
    <n v="0"/>
    <n v="1"/>
    <n v="566"/>
    <n v="7"/>
    <x v="0"/>
    <x v="0"/>
    <n v="4"/>
    <n v="75"/>
    <n v="3"/>
    <n v="3"/>
    <n v="3"/>
    <x v="688"/>
    <n v="24208"/>
    <n v="6"/>
    <n v="13"/>
    <n v="3"/>
    <n v="2"/>
    <n v="80"/>
    <n v="1"/>
    <n v="13"/>
    <n v="3"/>
    <n v="8"/>
    <n v="7"/>
    <n v="0"/>
    <n v="7"/>
  </r>
  <r>
    <x v="1"/>
    <s v="Travel_Rarely"/>
    <x v="4"/>
    <s v="Current Employees"/>
    <x v="1"/>
    <x v="2"/>
    <x v="724"/>
    <n v="1009"/>
    <x v="0"/>
    <x v="3"/>
    <x v="2"/>
    <s v="No"/>
    <s v="Y"/>
    <n v="6"/>
    <n v="-2"/>
    <n v="0"/>
    <x v="17"/>
    <x v="1"/>
    <x v="1"/>
    <n v="0"/>
    <n v="1"/>
    <n v="1206"/>
    <n v="17"/>
    <x v="1"/>
    <x v="0"/>
    <n v="4"/>
    <n v="41"/>
    <n v="2"/>
    <n v="2"/>
    <n v="3"/>
    <x v="689"/>
    <n v="24117"/>
    <n v="1"/>
    <n v="15"/>
    <n v="3"/>
    <n v="2"/>
    <n v="80"/>
    <n v="2"/>
    <n v="5"/>
    <n v="3"/>
    <n v="4"/>
    <n v="2"/>
    <n v="3"/>
    <n v="2"/>
  </r>
  <r>
    <x v="0"/>
    <s v="Travel_Rarely"/>
    <x v="0"/>
    <s v="Ex-Employees"/>
    <x v="1"/>
    <x v="1"/>
    <x v="725"/>
    <n v="1010"/>
    <x v="1"/>
    <x v="2"/>
    <x v="2"/>
    <s v="Yes"/>
    <s v="Y"/>
    <n v="2"/>
    <n v="-2"/>
    <n v="0"/>
    <x v="10"/>
    <x v="0"/>
    <x v="0"/>
    <n v="1"/>
    <n v="0"/>
    <n v="622"/>
    <n v="14"/>
    <x v="2"/>
    <x v="0"/>
    <n v="3"/>
    <n v="39"/>
    <n v="2"/>
    <n v="1"/>
    <n v="3"/>
    <x v="690"/>
    <n v="10074"/>
    <n v="1"/>
    <n v="24"/>
    <n v="4"/>
    <n v="4"/>
    <n v="80"/>
    <n v="1"/>
    <n v="5"/>
    <n v="1"/>
    <n v="4"/>
    <n v="2"/>
    <n v="0"/>
    <n v="2"/>
  </r>
  <r>
    <x v="1"/>
    <s v="Travel_Frequently"/>
    <x v="2"/>
    <s v="Current Employees"/>
    <x v="1"/>
    <x v="0"/>
    <x v="726"/>
    <n v="1011"/>
    <x v="0"/>
    <x v="3"/>
    <x v="1"/>
    <s v="No"/>
    <s v="Y"/>
    <n v="1"/>
    <n v="-2"/>
    <n v="0"/>
    <x v="12"/>
    <x v="1"/>
    <x v="1"/>
    <n v="0"/>
    <n v="1"/>
    <n v="853"/>
    <n v="1"/>
    <x v="1"/>
    <x v="0"/>
    <n v="3"/>
    <n v="96"/>
    <n v="3"/>
    <n v="2"/>
    <n v="1"/>
    <x v="691"/>
    <n v="11275"/>
    <n v="1"/>
    <n v="12"/>
    <n v="3"/>
    <n v="3"/>
    <n v="80"/>
    <n v="1"/>
    <n v="4"/>
    <n v="3"/>
    <n v="4"/>
    <n v="3"/>
    <n v="0"/>
    <n v="3"/>
  </r>
  <r>
    <x v="1"/>
    <s v="Non-Travel"/>
    <x v="4"/>
    <s v="Current Employees"/>
    <x v="1"/>
    <x v="0"/>
    <x v="727"/>
    <n v="1012"/>
    <x v="1"/>
    <x v="1"/>
    <x v="0"/>
    <s v="No"/>
    <s v="Y"/>
    <n v="2"/>
    <n v="-2"/>
    <n v="0"/>
    <x v="41"/>
    <x v="1"/>
    <x v="1"/>
    <n v="0"/>
    <n v="1"/>
    <n v="287"/>
    <n v="5"/>
    <x v="0"/>
    <x v="0"/>
    <n v="2"/>
    <n v="73"/>
    <n v="3"/>
    <n v="1"/>
    <n v="1"/>
    <x v="692"/>
    <n v="13493"/>
    <n v="1"/>
    <n v="15"/>
    <n v="3"/>
    <n v="4"/>
    <n v="80"/>
    <n v="0"/>
    <n v="0"/>
    <n v="3"/>
    <n v="0"/>
    <n v="0"/>
    <n v="0"/>
    <n v="0"/>
  </r>
  <r>
    <x v="1"/>
    <s v="Travel_Rarely"/>
    <x v="1"/>
    <s v="Current Employees"/>
    <x v="1"/>
    <x v="4"/>
    <x v="728"/>
    <n v="1013"/>
    <x v="0"/>
    <x v="3"/>
    <x v="1"/>
    <s v="No"/>
    <s v="Y"/>
    <n v="2"/>
    <n v="-2"/>
    <n v="0"/>
    <x v="33"/>
    <x v="1"/>
    <x v="1"/>
    <n v="0"/>
    <n v="1"/>
    <n v="1441"/>
    <n v="17"/>
    <x v="3"/>
    <x v="0"/>
    <n v="4"/>
    <n v="56"/>
    <n v="3"/>
    <n v="3"/>
    <n v="4"/>
    <x v="693"/>
    <n v="13943"/>
    <n v="8"/>
    <n v="11"/>
    <n v="3"/>
    <n v="3"/>
    <n v="80"/>
    <n v="1"/>
    <n v="22"/>
    <n v="3"/>
    <n v="10"/>
    <n v="7"/>
    <n v="0"/>
    <n v="8"/>
  </r>
  <r>
    <x v="1"/>
    <s v="Travel_Rarely"/>
    <x v="0"/>
    <s v="Current Employees"/>
    <x v="1"/>
    <x v="2"/>
    <x v="729"/>
    <n v="1014"/>
    <x v="0"/>
    <x v="4"/>
    <x v="2"/>
    <s v="Yes"/>
    <s v="Y"/>
    <n v="3"/>
    <n v="-2"/>
    <n v="0"/>
    <x v="10"/>
    <x v="1"/>
    <x v="1"/>
    <n v="0"/>
    <n v="1"/>
    <n v="583"/>
    <n v="25"/>
    <x v="2"/>
    <x v="0"/>
    <n v="3"/>
    <n v="57"/>
    <n v="3"/>
    <n v="3"/>
    <n v="3"/>
    <x v="694"/>
    <n v="6975"/>
    <n v="1"/>
    <n v="11"/>
    <n v="3"/>
    <n v="3"/>
    <n v="80"/>
    <n v="1"/>
    <n v="16"/>
    <n v="2"/>
    <n v="16"/>
    <n v="10"/>
    <n v="10"/>
    <n v="1"/>
  </r>
  <r>
    <x v="1"/>
    <s v="Travel_Rarely"/>
    <x v="2"/>
    <s v="Current Employees"/>
    <x v="1"/>
    <x v="0"/>
    <x v="730"/>
    <n v="1015"/>
    <x v="0"/>
    <x v="7"/>
    <x v="1"/>
    <s v="Yes"/>
    <s v="Y"/>
    <n v="4"/>
    <n v="-2"/>
    <n v="0"/>
    <x v="7"/>
    <x v="1"/>
    <x v="1"/>
    <n v="0"/>
    <n v="1"/>
    <n v="153"/>
    <n v="8"/>
    <x v="0"/>
    <x v="0"/>
    <n v="2"/>
    <n v="73"/>
    <n v="4"/>
    <n v="3"/>
    <n v="1"/>
    <x v="695"/>
    <n v="17802"/>
    <n v="0"/>
    <n v="12"/>
    <n v="3"/>
    <n v="3"/>
    <n v="80"/>
    <n v="3"/>
    <n v="9"/>
    <n v="2"/>
    <n v="8"/>
    <n v="7"/>
    <n v="1"/>
    <n v="7"/>
  </r>
  <r>
    <x v="0"/>
    <s v="Travel_Rarely"/>
    <x v="4"/>
    <s v="Ex-Employees"/>
    <x v="1"/>
    <x v="2"/>
    <x v="731"/>
    <n v="1016"/>
    <x v="0"/>
    <x v="1"/>
    <x v="0"/>
    <s v="Yes"/>
    <s v="Y"/>
    <n v="2"/>
    <n v="-2"/>
    <n v="0"/>
    <x v="35"/>
    <x v="0"/>
    <x v="0"/>
    <n v="1"/>
    <n v="0"/>
    <n v="1097"/>
    <n v="11"/>
    <x v="3"/>
    <x v="0"/>
    <n v="4"/>
    <n v="98"/>
    <n v="2"/>
    <n v="1"/>
    <n v="3"/>
    <x v="696"/>
    <n v="18275"/>
    <n v="1"/>
    <n v="15"/>
    <n v="3"/>
    <n v="1"/>
    <n v="80"/>
    <n v="0"/>
    <n v="1"/>
    <n v="3"/>
    <n v="1"/>
    <n v="0"/>
    <n v="0"/>
    <n v="0"/>
  </r>
  <r>
    <x v="0"/>
    <s v="Travel_Frequently"/>
    <x v="2"/>
    <s v="Ex-Employees"/>
    <x v="1"/>
    <x v="2"/>
    <x v="732"/>
    <n v="1017"/>
    <x v="0"/>
    <x v="2"/>
    <x v="0"/>
    <s v="No"/>
    <s v="Y"/>
    <n v="3"/>
    <n v="-2"/>
    <n v="0"/>
    <x v="7"/>
    <x v="0"/>
    <x v="0"/>
    <n v="1"/>
    <n v="0"/>
    <n v="109"/>
    <n v="5"/>
    <x v="3"/>
    <x v="0"/>
    <n v="2"/>
    <n v="60"/>
    <n v="3"/>
    <n v="1"/>
    <n v="3"/>
    <x v="697"/>
    <n v="25725"/>
    <n v="0"/>
    <n v="17"/>
    <n v="3"/>
    <n v="1"/>
    <n v="80"/>
    <n v="0"/>
    <n v="4"/>
    <n v="3"/>
    <n v="3"/>
    <n v="2"/>
    <n v="1"/>
    <n v="2"/>
  </r>
  <r>
    <x v="1"/>
    <s v="Travel_Rarely"/>
    <x v="2"/>
    <s v="Current Employees"/>
    <x v="1"/>
    <x v="2"/>
    <x v="733"/>
    <n v="1018"/>
    <x v="1"/>
    <x v="3"/>
    <x v="1"/>
    <s v="No"/>
    <s v="Y"/>
    <n v="2"/>
    <n v="-2"/>
    <n v="0"/>
    <x v="25"/>
    <x v="1"/>
    <x v="1"/>
    <n v="0"/>
    <n v="1"/>
    <n v="1066"/>
    <n v="2"/>
    <x v="0"/>
    <x v="0"/>
    <n v="4"/>
    <n v="32"/>
    <n v="4"/>
    <n v="2"/>
    <n v="4"/>
    <x v="698"/>
    <n v="3334"/>
    <n v="1"/>
    <n v="12"/>
    <n v="3"/>
    <n v="2"/>
    <n v="80"/>
    <n v="0"/>
    <n v="8"/>
    <n v="3"/>
    <n v="8"/>
    <n v="7"/>
    <n v="1"/>
    <n v="3"/>
  </r>
  <r>
    <x v="1"/>
    <s v="Travel_Rarely"/>
    <x v="4"/>
    <s v="Current Employees"/>
    <x v="1"/>
    <x v="0"/>
    <x v="734"/>
    <n v="1019"/>
    <x v="1"/>
    <x v="2"/>
    <x v="1"/>
    <s v="No"/>
    <s v="Y"/>
    <n v="3"/>
    <n v="-2"/>
    <n v="0"/>
    <x v="15"/>
    <x v="1"/>
    <x v="1"/>
    <n v="0"/>
    <n v="1"/>
    <n v="217"/>
    <n v="8"/>
    <x v="1"/>
    <x v="0"/>
    <n v="2"/>
    <n v="94"/>
    <n v="1"/>
    <n v="1"/>
    <n v="1"/>
    <x v="163"/>
    <n v="6881"/>
    <n v="1"/>
    <n v="15"/>
    <n v="3"/>
    <n v="1"/>
    <n v="80"/>
    <n v="1"/>
    <n v="4"/>
    <n v="2"/>
    <n v="4"/>
    <n v="3"/>
    <n v="1"/>
    <n v="1"/>
  </r>
  <r>
    <x v="1"/>
    <s v="Travel_Rarely"/>
    <x v="1"/>
    <s v="Current Employees"/>
    <x v="1"/>
    <x v="0"/>
    <x v="735"/>
    <n v="1022"/>
    <x v="1"/>
    <x v="4"/>
    <x v="0"/>
    <s v="No"/>
    <s v="Y"/>
    <n v="0"/>
    <n v="-2"/>
    <n v="0"/>
    <x v="26"/>
    <x v="1"/>
    <x v="1"/>
    <n v="0"/>
    <n v="1"/>
    <n v="277"/>
    <n v="6"/>
    <x v="3"/>
    <x v="0"/>
    <n v="1"/>
    <n v="97"/>
    <n v="2"/>
    <n v="2"/>
    <n v="1"/>
    <x v="699"/>
    <n v="13119"/>
    <n v="2"/>
    <n v="13"/>
    <n v="3"/>
    <n v="4"/>
    <n v="80"/>
    <n v="0"/>
    <n v="19"/>
    <n v="3"/>
    <n v="2"/>
    <n v="2"/>
    <n v="2"/>
    <n v="2"/>
  </r>
  <r>
    <x v="1"/>
    <s v="Travel_Rarely"/>
    <x v="1"/>
    <s v="Current Employees"/>
    <x v="1"/>
    <x v="0"/>
    <x v="736"/>
    <n v="1024"/>
    <x v="1"/>
    <x v="4"/>
    <x v="0"/>
    <s v="No"/>
    <s v="Y"/>
    <n v="3"/>
    <n v="-2"/>
    <n v="0"/>
    <x v="26"/>
    <x v="1"/>
    <x v="1"/>
    <n v="0"/>
    <n v="1"/>
    <n v="1355"/>
    <n v="4"/>
    <x v="2"/>
    <x v="0"/>
    <n v="3"/>
    <n v="78"/>
    <n v="2"/>
    <n v="3"/>
    <n v="1"/>
    <x v="700"/>
    <n v="22245"/>
    <n v="7"/>
    <n v="14"/>
    <n v="3"/>
    <n v="2"/>
    <n v="80"/>
    <n v="0"/>
    <n v="27"/>
    <n v="3"/>
    <n v="15"/>
    <n v="11"/>
    <n v="4"/>
    <n v="8"/>
  </r>
  <r>
    <x v="1"/>
    <s v="Travel_Rarely"/>
    <x v="0"/>
    <s v="Current Employees"/>
    <x v="1"/>
    <x v="2"/>
    <x v="737"/>
    <n v="1025"/>
    <x v="0"/>
    <x v="3"/>
    <x v="0"/>
    <s v="No"/>
    <s v="Y"/>
    <n v="6"/>
    <n v="-2"/>
    <n v="0"/>
    <x v="0"/>
    <x v="1"/>
    <x v="1"/>
    <n v="0"/>
    <n v="1"/>
    <n v="549"/>
    <n v="7"/>
    <x v="0"/>
    <x v="0"/>
    <n v="4"/>
    <n v="42"/>
    <n v="3"/>
    <n v="2"/>
    <n v="3"/>
    <x v="701"/>
    <n v="23371"/>
    <n v="6"/>
    <n v="14"/>
    <n v="3"/>
    <n v="2"/>
    <n v="80"/>
    <n v="0"/>
    <n v="8"/>
    <n v="3"/>
    <n v="2"/>
    <n v="2"/>
    <n v="2"/>
    <n v="1"/>
  </r>
  <r>
    <x v="1"/>
    <s v="Travel_Rarely"/>
    <x v="0"/>
    <s v="Current Employees"/>
    <x v="1"/>
    <x v="0"/>
    <x v="738"/>
    <n v="1026"/>
    <x v="0"/>
    <x v="3"/>
    <x v="1"/>
    <s v="No"/>
    <s v="Y"/>
    <n v="3"/>
    <n v="-2"/>
    <n v="0"/>
    <x v="22"/>
    <x v="1"/>
    <x v="1"/>
    <n v="0"/>
    <n v="1"/>
    <n v="466"/>
    <n v="1"/>
    <x v="1"/>
    <x v="0"/>
    <n v="4"/>
    <n v="65"/>
    <n v="2"/>
    <n v="4"/>
    <n v="1"/>
    <x v="702"/>
    <n v="7060"/>
    <n v="1"/>
    <n v="16"/>
    <n v="3"/>
    <n v="3"/>
    <n v="80"/>
    <n v="1"/>
    <n v="21"/>
    <n v="3"/>
    <n v="21"/>
    <n v="6"/>
    <n v="11"/>
    <n v="8"/>
  </r>
  <r>
    <x v="1"/>
    <s v="Travel_Rarely"/>
    <x v="2"/>
    <s v="Current Employees"/>
    <x v="1"/>
    <x v="0"/>
    <x v="739"/>
    <n v="1027"/>
    <x v="0"/>
    <x v="3"/>
    <x v="1"/>
    <s v="No"/>
    <s v="Y"/>
    <n v="2"/>
    <n v="-2"/>
    <n v="0"/>
    <x v="4"/>
    <x v="1"/>
    <x v="1"/>
    <n v="0"/>
    <n v="1"/>
    <n v="1055"/>
    <n v="2"/>
    <x v="2"/>
    <x v="0"/>
    <n v="1"/>
    <n v="47"/>
    <n v="3"/>
    <n v="2"/>
    <n v="1"/>
    <x v="703"/>
    <n v="4658"/>
    <n v="0"/>
    <n v="18"/>
    <n v="3"/>
    <n v="2"/>
    <n v="80"/>
    <n v="1"/>
    <n v="4"/>
    <n v="3"/>
    <n v="3"/>
    <n v="2"/>
    <n v="2"/>
    <n v="2"/>
  </r>
  <r>
    <x v="1"/>
    <s v="Travel_Rarely"/>
    <x v="0"/>
    <s v="Current Employees"/>
    <x v="1"/>
    <x v="1"/>
    <x v="740"/>
    <n v="1028"/>
    <x v="1"/>
    <x v="2"/>
    <x v="2"/>
    <s v="No"/>
    <s v="Y"/>
    <n v="4"/>
    <n v="-2"/>
    <n v="0"/>
    <x v="10"/>
    <x v="1"/>
    <x v="1"/>
    <n v="0"/>
    <n v="1"/>
    <n v="802"/>
    <n v="10"/>
    <x v="3"/>
    <x v="0"/>
    <n v="2"/>
    <n v="45"/>
    <n v="3"/>
    <n v="1"/>
    <n v="4"/>
    <x v="704"/>
    <n v="9541"/>
    <n v="1"/>
    <n v="20"/>
    <n v="4"/>
    <n v="1"/>
    <n v="80"/>
    <n v="1"/>
    <n v="3"/>
    <n v="2"/>
    <n v="3"/>
    <n v="2"/>
    <n v="1"/>
    <n v="2"/>
  </r>
  <r>
    <x v="1"/>
    <s v="Travel_Rarely"/>
    <x v="0"/>
    <s v="Current Employees"/>
    <x v="0"/>
    <x v="3"/>
    <x v="741"/>
    <n v="1029"/>
    <x v="1"/>
    <x v="5"/>
    <x v="1"/>
    <s v="No"/>
    <s v="Y"/>
    <n v="3"/>
    <n v="-2"/>
    <n v="0"/>
    <x v="19"/>
    <x v="1"/>
    <x v="1"/>
    <n v="0"/>
    <n v="1"/>
    <n v="265"/>
    <n v="5"/>
    <x v="0"/>
    <x v="0"/>
    <n v="4"/>
    <n v="90"/>
    <n v="3"/>
    <n v="5"/>
    <n v="2"/>
    <x v="705"/>
    <n v="7770"/>
    <n v="6"/>
    <n v="13"/>
    <n v="3"/>
    <n v="2"/>
    <n v="80"/>
    <n v="0"/>
    <n v="21"/>
    <n v="4"/>
    <n v="1"/>
    <n v="0"/>
    <n v="0"/>
    <n v="0"/>
  </r>
  <r>
    <x v="1"/>
    <s v="Travel_Rarely"/>
    <x v="1"/>
    <s v="Current Employees"/>
    <x v="1"/>
    <x v="0"/>
    <x v="742"/>
    <n v="1030"/>
    <x v="1"/>
    <x v="2"/>
    <x v="1"/>
    <s v="No"/>
    <s v="Y"/>
    <n v="5"/>
    <n v="-2"/>
    <n v="0"/>
    <x v="24"/>
    <x v="1"/>
    <x v="1"/>
    <n v="0"/>
    <n v="1"/>
    <n v="804"/>
    <n v="9"/>
    <x v="3"/>
    <x v="0"/>
    <n v="1"/>
    <n v="64"/>
    <n v="3"/>
    <n v="1"/>
    <n v="1"/>
    <x v="631"/>
    <n v="20165"/>
    <n v="4"/>
    <n v="18"/>
    <n v="3"/>
    <n v="2"/>
    <n v="80"/>
    <n v="0"/>
    <n v="8"/>
    <n v="3"/>
    <n v="1"/>
    <n v="0"/>
    <n v="0"/>
    <n v="0"/>
  </r>
  <r>
    <x v="1"/>
    <s v="Travel_Rarely"/>
    <x v="3"/>
    <s v="Current Employees"/>
    <x v="1"/>
    <x v="0"/>
    <x v="743"/>
    <n v="1032"/>
    <x v="0"/>
    <x v="3"/>
    <x v="0"/>
    <s v="Yes"/>
    <s v="Y"/>
    <n v="4"/>
    <n v="-2"/>
    <n v="0"/>
    <x v="6"/>
    <x v="1"/>
    <x v="1"/>
    <n v="0"/>
    <n v="1"/>
    <n v="715"/>
    <n v="2"/>
    <x v="3"/>
    <x v="0"/>
    <n v="3"/>
    <n v="69"/>
    <n v="2"/>
    <n v="4"/>
    <n v="1"/>
    <x v="706"/>
    <n v="21829"/>
    <n v="3"/>
    <n v="13"/>
    <n v="3"/>
    <n v="1"/>
    <n v="80"/>
    <n v="0"/>
    <n v="30"/>
    <n v="3"/>
    <n v="5"/>
    <n v="3"/>
    <n v="4"/>
    <n v="3"/>
  </r>
  <r>
    <x v="0"/>
    <s v="Travel_Rarely"/>
    <x v="0"/>
    <s v="Ex-Employees"/>
    <x v="1"/>
    <x v="2"/>
    <x v="744"/>
    <n v="1033"/>
    <x v="0"/>
    <x v="4"/>
    <x v="1"/>
    <s v="No"/>
    <s v="Y"/>
    <n v="2"/>
    <n v="-2"/>
    <n v="0"/>
    <x v="2"/>
    <x v="0"/>
    <x v="0"/>
    <n v="1"/>
    <n v="0"/>
    <n v="1141"/>
    <n v="11"/>
    <x v="0"/>
    <x v="0"/>
    <n v="1"/>
    <n v="61"/>
    <n v="1"/>
    <n v="2"/>
    <n v="3"/>
    <x v="707"/>
    <n v="14382"/>
    <n v="5"/>
    <n v="15"/>
    <n v="3"/>
    <n v="1"/>
    <n v="80"/>
    <n v="0"/>
    <n v="15"/>
    <n v="1"/>
    <n v="1"/>
    <n v="0"/>
    <n v="0"/>
    <n v="0"/>
  </r>
  <r>
    <x v="1"/>
    <s v="Travel_Frequently"/>
    <x v="3"/>
    <s v="Current Employees"/>
    <x v="1"/>
    <x v="2"/>
    <x v="745"/>
    <n v="1034"/>
    <x v="1"/>
    <x v="4"/>
    <x v="1"/>
    <s v="Yes"/>
    <s v="Y"/>
    <n v="3"/>
    <n v="-2"/>
    <n v="0"/>
    <x v="27"/>
    <x v="1"/>
    <x v="1"/>
    <n v="0"/>
    <n v="1"/>
    <n v="135"/>
    <n v="18"/>
    <x v="2"/>
    <x v="0"/>
    <n v="3"/>
    <n v="62"/>
    <n v="3"/>
    <n v="2"/>
    <n v="3"/>
    <x v="708"/>
    <n v="12992"/>
    <n v="3"/>
    <n v="14"/>
    <n v="3"/>
    <n v="4"/>
    <n v="80"/>
    <n v="2"/>
    <n v="17"/>
    <n v="3"/>
    <n v="8"/>
    <n v="7"/>
    <n v="6"/>
    <n v="7"/>
  </r>
  <r>
    <x v="1"/>
    <s v="Non-Travel"/>
    <x v="0"/>
    <s v="Current Employees"/>
    <x v="1"/>
    <x v="0"/>
    <x v="746"/>
    <n v="1035"/>
    <x v="0"/>
    <x v="7"/>
    <x v="2"/>
    <s v="No"/>
    <s v="Y"/>
    <n v="3"/>
    <n v="-2"/>
    <n v="0"/>
    <x v="0"/>
    <x v="1"/>
    <x v="1"/>
    <n v="0"/>
    <n v="1"/>
    <n v="247"/>
    <n v="7"/>
    <x v="1"/>
    <x v="0"/>
    <n v="2"/>
    <n v="55"/>
    <n v="1"/>
    <n v="5"/>
    <n v="1"/>
    <x v="709"/>
    <n v="20284"/>
    <n v="1"/>
    <n v="22"/>
    <n v="4"/>
    <n v="2"/>
    <n v="80"/>
    <n v="2"/>
    <n v="21"/>
    <n v="3"/>
    <n v="21"/>
    <n v="16"/>
    <n v="5"/>
    <n v="10"/>
  </r>
  <r>
    <x v="1"/>
    <s v="Travel_Rarely"/>
    <x v="0"/>
    <s v="Current Employees"/>
    <x v="0"/>
    <x v="0"/>
    <x v="747"/>
    <n v="1036"/>
    <x v="1"/>
    <x v="0"/>
    <x v="0"/>
    <s v="Yes"/>
    <s v="Y"/>
    <n v="1"/>
    <n v="-2"/>
    <n v="0"/>
    <x v="8"/>
    <x v="1"/>
    <x v="1"/>
    <n v="0"/>
    <n v="1"/>
    <n v="1035"/>
    <n v="3"/>
    <x v="2"/>
    <x v="0"/>
    <n v="2"/>
    <n v="42"/>
    <n v="3"/>
    <n v="2"/>
    <n v="1"/>
    <x v="710"/>
    <n v="4981"/>
    <n v="8"/>
    <n v="12"/>
    <n v="3"/>
    <n v="3"/>
    <n v="80"/>
    <n v="0"/>
    <n v="19"/>
    <n v="3"/>
    <n v="1"/>
    <n v="0"/>
    <n v="0"/>
    <n v="0"/>
  </r>
  <r>
    <x v="0"/>
    <s v="Non-Travel"/>
    <x v="2"/>
    <s v="Ex-Employees"/>
    <x v="0"/>
    <x v="2"/>
    <x v="748"/>
    <n v="1037"/>
    <x v="1"/>
    <x v="0"/>
    <x v="0"/>
    <s v="No"/>
    <s v="Y"/>
    <n v="6"/>
    <n v="-2"/>
    <n v="0"/>
    <x v="25"/>
    <x v="0"/>
    <x v="0"/>
    <n v="1"/>
    <n v="0"/>
    <n v="265"/>
    <n v="29"/>
    <x v="0"/>
    <x v="0"/>
    <n v="2"/>
    <n v="79"/>
    <n v="1"/>
    <n v="2"/>
    <n v="3"/>
    <x v="711"/>
    <n v="21813"/>
    <n v="8"/>
    <n v="18"/>
    <n v="3"/>
    <n v="4"/>
    <n v="80"/>
    <n v="0"/>
    <n v="7"/>
    <n v="3"/>
    <n v="2"/>
    <n v="2"/>
    <n v="2"/>
    <n v="2"/>
  </r>
  <r>
    <x v="0"/>
    <s v="Travel_Rarely"/>
    <x v="1"/>
    <s v="Ex-Employees"/>
    <x v="0"/>
    <x v="3"/>
    <x v="749"/>
    <n v="1038"/>
    <x v="0"/>
    <x v="5"/>
    <x v="1"/>
    <s v="No"/>
    <s v="Y"/>
    <n v="3"/>
    <n v="-2"/>
    <n v="0"/>
    <x v="39"/>
    <x v="0"/>
    <x v="0"/>
    <n v="1"/>
    <n v="0"/>
    <n v="266"/>
    <n v="2"/>
    <x v="1"/>
    <x v="0"/>
    <n v="1"/>
    <n v="57"/>
    <n v="1"/>
    <n v="5"/>
    <n v="2"/>
    <x v="712"/>
    <n v="25846"/>
    <n v="1"/>
    <n v="15"/>
    <n v="3"/>
    <n v="4"/>
    <n v="80"/>
    <n v="1"/>
    <n v="33"/>
    <n v="3"/>
    <n v="32"/>
    <n v="14"/>
    <n v="6"/>
    <n v="9"/>
  </r>
  <r>
    <x v="1"/>
    <s v="Travel_Rarely"/>
    <x v="0"/>
    <s v="Current Employees"/>
    <x v="0"/>
    <x v="2"/>
    <x v="750"/>
    <n v="1039"/>
    <x v="0"/>
    <x v="0"/>
    <x v="1"/>
    <s v="Yes"/>
    <s v="Y"/>
    <n v="2"/>
    <n v="-2"/>
    <n v="0"/>
    <x v="20"/>
    <x v="1"/>
    <x v="1"/>
    <n v="0"/>
    <n v="1"/>
    <n v="1448"/>
    <n v="28"/>
    <x v="3"/>
    <x v="0"/>
    <n v="4"/>
    <n v="53"/>
    <n v="4"/>
    <n v="4"/>
    <n v="4"/>
    <x v="713"/>
    <n v="11737"/>
    <n v="3"/>
    <n v="18"/>
    <n v="3"/>
    <n v="3"/>
    <n v="80"/>
    <n v="1"/>
    <n v="23"/>
    <n v="3"/>
    <n v="12"/>
    <n v="11"/>
    <n v="11"/>
    <n v="11"/>
  </r>
  <r>
    <x v="1"/>
    <s v="Non-Travel"/>
    <x v="1"/>
    <s v="Current Employees"/>
    <x v="0"/>
    <x v="0"/>
    <x v="751"/>
    <n v="1040"/>
    <x v="0"/>
    <x v="0"/>
    <x v="1"/>
    <s v="No"/>
    <s v="Y"/>
    <n v="3"/>
    <n v="-2"/>
    <n v="0"/>
    <x v="24"/>
    <x v="1"/>
    <x v="1"/>
    <n v="0"/>
    <n v="1"/>
    <n v="145"/>
    <n v="1"/>
    <x v="3"/>
    <x v="0"/>
    <n v="4"/>
    <n v="95"/>
    <n v="3"/>
    <n v="2"/>
    <n v="1"/>
    <x v="136"/>
    <n v="24920"/>
    <n v="0"/>
    <n v="12"/>
    <n v="3"/>
    <n v="1"/>
    <n v="80"/>
    <n v="1"/>
    <n v="19"/>
    <n v="3"/>
    <n v="18"/>
    <n v="7"/>
    <n v="0"/>
    <n v="13"/>
  </r>
  <r>
    <x v="0"/>
    <s v="Travel_Rarely"/>
    <x v="0"/>
    <s v="Ex-Employees"/>
    <x v="1"/>
    <x v="0"/>
    <x v="752"/>
    <n v="1042"/>
    <x v="0"/>
    <x v="2"/>
    <x v="0"/>
    <s v="No"/>
    <s v="Y"/>
    <n v="1"/>
    <n v="-2"/>
    <n v="0"/>
    <x v="9"/>
    <x v="0"/>
    <x v="0"/>
    <n v="1"/>
    <n v="0"/>
    <n v="885"/>
    <n v="16"/>
    <x v="2"/>
    <x v="0"/>
    <n v="3"/>
    <n v="43"/>
    <n v="4"/>
    <n v="1"/>
    <n v="1"/>
    <x v="714"/>
    <n v="8269"/>
    <n v="1"/>
    <n v="16"/>
    <n v="3"/>
    <n v="3"/>
    <n v="80"/>
    <n v="0"/>
    <n v="18"/>
    <n v="3"/>
    <n v="17"/>
    <n v="13"/>
    <n v="15"/>
    <n v="14"/>
  </r>
  <r>
    <x v="1"/>
    <s v="Travel_Frequently"/>
    <x v="0"/>
    <s v="Current Employees"/>
    <x v="1"/>
    <x v="2"/>
    <x v="753"/>
    <n v="1043"/>
    <x v="0"/>
    <x v="3"/>
    <x v="0"/>
    <s v="Yes"/>
    <s v="Y"/>
    <n v="2"/>
    <n v="-2"/>
    <n v="0"/>
    <x v="22"/>
    <x v="1"/>
    <x v="1"/>
    <n v="0"/>
    <n v="1"/>
    <n v="945"/>
    <n v="22"/>
    <x v="3"/>
    <x v="0"/>
    <n v="4"/>
    <n v="82"/>
    <n v="3"/>
    <n v="3"/>
    <n v="3"/>
    <x v="715"/>
    <n v="5083"/>
    <n v="1"/>
    <n v="13"/>
    <n v="3"/>
    <n v="3"/>
    <n v="80"/>
    <n v="0"/>
    <n v="21"/>
    <n v="3"/>
    <n v="21"/>
    <n v="6"/>
    <n v="2"/>
    <n v="8"/>
  </r>
  <r>
    <x v="1"/>
    <s v="Non-Travel"/>
    <x v="2"/>
    <s v="Current Employees"/>
    <x v="0"/>
    <x v="0"/>
    <x v="754"/>
    <n v="1044"/>
    <x v="0"/>
    <x v="6"/>
    <x v="0"/>
    <s v="No"/>
    <s v="Y"/>
    <n v="2"/>
    <n v="-2"/>
    <n v="0"/>
    <x v="3"/>
    <x v="1"/>
    <x v="1"/>
    <n v="0"/>
    <n v="1"/>
    <n v="1038"/>
    <n v="8"/>
    <x v="1"/>
    <x v="0"/>
    <n v="2"/>
    <n v="88"/>
    <n v="2"/>
    <n v="1"/>
    <n v="1"/>
    <x v="531"/>
    <n v="21437"/>
    <n v="0"/>
    <n v="19"/>
    <n v="3"/>
    <n v="4"/>
    <n v="80"/>
    <n v="0"/>
    <n v="3"/>
    <n v="2"/>
    <n v="2"/>
    <n v="2"/>
    <n v="2"/>
    <n v="2"/>
  </r>
  <r>
    <x v="1"/>
    <s v="Travel_Rarely"/>
    <x v="1"/>
    <s v="Current Employees"/>
    <x v="0"/>
    <x v="0"/>
    <x v="755"/>
    <n v="1045"/>
    <x v="0"/>
    <x v="5"/>
    <x v="1"/>
    <s v="No"/>
    <s v="Y"/>
    <n v="4"/>
    <n v="-2"/>
    <n v="0"/>
    <x v="28"/>
    <x v="1"/>
    <x v="1"/>
    <n v="0"/>
    <n v="1"/>
    <n v="1234"/>
    <n v="11"/>
    <x v="0"/>
    <x v="0"/>
    <n v="4"/>
    <n v="90"/>
    <n v="3"/>
    <n v="4"/>
    <n v="1"/>
    <x v="716"/>
    <n v="5404"/>
    <n v="3"/>
    <n v="13"/>
    <n v="3"/>
    <n v="2"/>
    <n v="80"/>
    <n v="1"/>
    <n v="26"/>
    <n v="4"/>
    <n v="9"/>
    <n v="3"/>
    <n v="1"/>
    <n v="1"/>
  </r>
  <r>
    <x v="1"/>
    <s v="Non-Travel"/>
    <x v="2"/>
    <s v="Current Employees"/>
    <x v="1"/>
    <x v="2"/>
    <x v="756"/>
    <n v="1046"/>
    <x v="0"/>
    <x v="2"/>
    <x v="0"/>
    <s v="No"/>
    <s v="Y"/>
    <n v="2"/>
    <n v="-2"/>
    <n v="0"/>
    <x v="5"/>
    <x v="1"/>
    <x v="1"/>
    <n v="0"/>
    <n v="1"/>
    <n v="1109"/>
    <n v="29"/>
    <x v="2"/>
    <x v="0"/>
    <n v="4"/>
    <n v="69"/>
    <n v="3"/>
    <n v="1"/>
    <n v="3"/>
    <x v="717"/>
    <n v="11135"/>
    <n v="9"/>
    <n v="12"/>
    <n v="3"/>
    <n v="2"/>
    <n v="80"/>
    <n v="0"/>
    <n v="10"/>
    <n v="3"/>
    <n v="8"/>
    <n v="7"/>
    <n v="7"/>
    <n v="7"/>
  </r>
  <r>
    <x v="1"/>
    <s v="Travel_Rarely"/>
    <x v="2"/>
    <s v="Current Employees"/>
    <x v="0"/>
    <x v="3"/>
    <x v="757"/>
    <n v="1047"/>
    <x v="1"/>
    <x v="0"/>
    <x v="2"/>
    <s v="No"/>
    <s v="Y"/>
    <n v="2"/>
    <n v="-2"/>
    <n v="0"/>
    <x v="13"/>
    <x v="1"/>
    <x v="1"/>
    <n v="0"/>
    <n v="1"/>
    <n v="216"/>
    <n v="1"/>
    <x v="2"/>
    <x v="0"/>
    <n v="2"/>
    <n v="75"/>
    <n v="4"/>
    <n v="2"/>
    <n v="2"/>
    <x v="718"/>
    <n v="12278"/>
    <n v="0"/>
    <n v="11"/>
    <n v="3"/>
    <n v="4"/>
    <n v="80"/>
    <n v="1"/>
    <n v="16"/>
    <n v="2"/>
    <n v="15"/>
    <n v="1"/>
    <n v="0"/>
    <n v="9"/>
  </r>
  <r>
    <x v="1"/>
    <s v="Travel_Rarely"/>
    <x v="3"/>
    <s v="Current Employees"/>
    <x v="0"/>
    <x v="4"/>
    <x v="758"/>
    <n v="1048"/>
    <x v="1"/>
    <x v="5"/>
    <x v="1"/>
    <s v="Yes"/>
    <s v="Y"/>
    <n v="1"/>
    <n v="-2"/>
    <n v="0"/>
    <x v="6"/>
    <x v="1"/>
    <x v="1"/>
    <n v="0"/>
    <n v="1"/>
    <n v="1089"/>
    <n v="1"/>
    <x v="0"/>
    <x v="0"/>
    <n v="4"/>
    <n v="66"/>
    <n v="3"/>
    <n v="3"/>
    <n v="4"/>
    <x v="719"/>
    <n v="11038"/>
    <n v="3"/>
    <n v="14"/>
    <n v="3"/>
    <n v="3"/>
    <n v="80"/>
    <n v="1"/>
    <n v="14"/>
    <n v="1"/>
    <n v="6"/>
    <n v="4"/>
    <n v="0"/>
    <n v="4"/>
  </r>
  <r>
    <x v="1"/>
    <s v="Travel_Rarely"/>
    <x v="1"/>
    <s v="Current Employees"/>
    <x v="2"/>
    <x v="2"/>
    <x v="759"/>
    <n v="1049"/>
    <x v="1"/>
    <x v="8"/>
    <x v="0"/>
    <s v="No"/>
    <s v="Y"/>
    <n v="3"/>
    <n v="-2"/>
    <n v="0"/>
    <x v="28"/>
    <x v="1"/>
    <x v="1"/>
    <n v="0"/>
    <n v="1"/>
    <n v="788"/>
    <n v="24"/>
    <x v="2"/>
    <x v="0"/>
    <n v="2"/>
    <n v="36"/>
    <n v="3"/>
    <n v="1"/>
    <n v="3"/>
    <x v="221"/>
    <n v="8318"/>
    <n v="1"/>
    <n v="16"/>
    <n v="3"/>
    <n v="1"/>
    <n v="80"/>
    <n v="0"/>
    <n v="6"/>
    <n v="3"/>
    <n v="6"/>
    <n v="3"/>
    <n v="0"/>
    <n v="4"/>
  </r>
  <r>
    <x v="1"/>
    <s v="Travel_Frequently"/>
    <x v="1"/>
    <s v="Current Employees"/>
    <x v="0"/>
    <x v="3"/>
    <x v="760"/>
    <n v="1050"/>
    <x v="0"/>
    <x v="0"/>
    <x v="1"/>
    <s v="No"/>
    <s v="Y"/>
    <n v="2"/>
    <n v="-2"/>
    <n v="0"/>
    <x v="16"/>
    <x v="1"/>
    <x v="1"/>
    <n v="0"/>
    <n v="1"/>
    <n v="124"/>
    <n v="2"/>
    <x v="3"/>
    <x v="0"/>
    <n v="3"/>
    <n v="38"/>
    <n v="2"/>
    <n v="3"/>
    <n v="2"/>
    <x v="720"/>
    <n v="23537"/>
    <n v="2"/>
    <n v="12"/>
    <n v="3"/>
    <n v="1"/>
    <n v="80"/>
    <n v="1"/>
    <n v="30"/>
    <n v="3"/>
    <n v="15"/>
    <n v="7"/>
    <n v="6"/>
    <n v="12"/>
  </r>
  <r>
    <x v="0"/>
    <s v="Travel_Rarely"/>
    <x v="0"/>
    <s v="Ex-Employees"/>
    <x v="1"/>
    <x v="1"/>
    <x v="761"/>
    <n v="1052"/>
    <x v="1"/>
    <x v="2"/>
    <x v="2"/>
    <s v="No"/>
    <s v="Y"/>
    <n v="3"/>
    <n v="-2"/>
    <n v="0"/>
    <x v="9"/>
    <x v="0"/>
    <x v="0"/>
    <n v="1"/>
    <n v="0"/>
    <n v="660"/>
    <n v="15"/>
    <x v="3"/>
    <x v="0"/>
    <n v="1"/>
    <n v="81"/>
    <n v="3"/>
    <n v="2"/>
    <n v="3"/>
    <x v="721"/>
    <n v="7858"/>
    <n v="7"/>
    <n v="14"/>
    <n v="3"/>
    <n v="2"/>
    <n v="80"/>
    <n v="1"/>
    <n v="9"/>
    <n v="2"/>
    <n v="1"/>
    <n v="0"/>
    <n v="0"/>
    <n v="0"/>
  </r>
  <r>
    <x v="0"/>
    <s v="Travel_Frequently"/>
    <x v="2"/>
    <s v="Ex-Employees"/>
    <x v="1"/>
    <x v="0"/>
    <x v="762"/>
    <n v="1053"/>
    <x v="1"/>
    <x v="1"/>
    <x v="1"/>
    <s v="Yes"/>
    <s v="Y"/>
    <n v="2"/>
    <n v="-2"/>
    <n v="0"/>
    <x v="25"/>
    <x v="0"/>
    <x v="0"/>
    <n v="1"/>
    <n v="0"/>
    <n v="342"/>
    <n v="2"/>
    <x v="3"/>
    <x v="0"/>
    <n v="1"/>
    <n v="57"/>
    <n v="3"/>
    <n v="1"/>
    <n v="1"/>
    <x v="96"/>
    <n v="15346"/>
    <n v="6"/>
    <n v="14"/>
    <n v="3"/>
    <n v="2"/>
    <n v="80"/>
    <n v="1"/>
    <n v="6"/>
    <n v="3"/>
    <n v="3"/>
    <n v="2"/>
    <n v="1"/>
    <n v="2"/>
  </r>
  <r>
    <x v="1"/>
    <s v="Travel_Rarely"/>
    <x v="2"/>
    <s v="Current Employees"/>
    <x v="0"/>
    <x v="0"/>
    <x v="763"/>
    <n v="1055"/>
    <x v="0"/>
    <x v="6"/>
    <x v="1"/>
    <s v="Yes"/>
    <s v="Y"/>
    <n v="2"/>
    <n v="-2"/>
    <n v="0"/>
    <x v="13"/>
    <x v="1"/>
    <x v="1"/>
    <n v="0"/>
    <n v="1"/>
    <n v="1333"/>
    <n v="10"/>
    <x v="2"/>
    <x v="0"/>
    <n v="3"/>
    <n v="87"/>
    <n v="3"/>
    <n v="1"/>
    <n v="1"/>
    <x v="722"/>
    <n v="18410"/>
    <n v="1"/>
    <n v="19"/>
    <n v="3"/>
    <n v="4"/>
    <n v="80"/>
    <n v="1"/>
    <n v="1"/>
    <n v="3"/>
    <n v="1"/>
    <n v="1"/>
    <n v="0"/>
    <n v="0"/>
  </r>
  <r>
    <x v="1"/>
    <s v="Travel_Rarely"/>
    <x v="2"/>
    <s v="Current Employees"/>
    <x v="0"/>
    <x v="2"/>
    <x v="764"/>
    <n v="1056"/>
    <x v="1"/>
    <x v="6"/>
    <x v="1"/>
    <s v="No"/>
    <s v="Y"/>
    <n v="5"/>
    <n v="-2"/>
    <n v="0"/>
    <x v="14"/>
    <x v="1"/>
    <x v="1"/>
    <n v="0"/>
    <n v="1"/>
    <n v="1144"/>
    <n v="10"/>
    <x v="1"/>
    <x v="0"/>
    <n v="4"/>
    <n v="74"/>
    <n v="3"/>
    <n v="1"/>
    <n v="3"/>
    <x v="723"/>
    <n v="23384"/>
    <n v="1"/>
    <n v="22"/>
    <n v="4"/>
    <n v="2"/>
    <n v="80"/>
    <n v="0"/>
    <n v="1"/>
    <n v="3"/>
    <n v="1"/>
    <n v="0"/>
    <n v="0"/>
    <n v="0"/>
  </r>
  <r>
    <x v="1"/>
    <s v="Travel_Frequently"/>
    <x v="0"/>
    <s v="Current Employees"/>
    <x v="1"/>
    <x v="1"/>
    <x v="765"/>
    <n v="1060"/>
    <x v="1"/>
    <x v="1"/>
    <x v="1"/>
    <s v="No"/>
    <s v="Y"/>
    <n v="2"/>
    <n v="-2"/>
    <n v="0"/>
    <x v="8"/>
    <x v="1"/>
    <x v="1"/>
    <n v="0"/>
    <n v="1"/>
    <n v="1186"/>
    <n v="3"/>
    <x v="2"/>
    <x v="0"/>
    <n v="3"/>
    <n v="44"/>
    <n v="3"/>
    <n v="1"/>
    <n v="3"/>
    <x v="724"/>
    <n v="2997"/>
    <n v="3"/>
    <n v="16"/>
    <n v="3"/>
    <n v="1"/>
    <n v="80"/>
    <n v="1"/>
    <n v="8"/>
    <n v="3"/>
    <n v="2"/>
    <n v="2"/>
    <n v="2"/>
    <n v="2"/>
  </r>
  <r>
    <x v="1"/>
    <s v="Travel_Rarely"/>
    <x v="1"/>
    <s v="Current Employees"/>
    <x v="1"/>
    <x v="2"/>
    <x v="766"/>
    <n v="1061"/>
    <x v="1"/>
    <x v="7"/>
    <x v="1"/>
    <s v="Yes"/>
    <s v="Y"/>
    <n v="2"/>
    <n v="-2"/>
    <n v="0"/>
    <x v="24"/>
    <x v="1"/>
    <x v="1"/>
    <n v="0"/>
    <n v="1"/>
    <n v="1464"/>
    <n v="2"/>
    <x v="2"/>
    <x v="0"/>
    <n v="2"/>
    <n v="62"/>
    <n v="3"/>
    <n v="5"/>
    <n v="3"/>
    <x v="725"/>
    <n v="12853"/>
    <n v="2"/>
    <n v="11"/>
    <n v="3"/>
    <n v="4"/>
    <n v="80"/>
    <n v="1"/>
    <n v="29"/>
    <n v="2"/>
    <n v="8"/>
    <n v="1"/>
    <n v="7"/>
    <n v="7"/>
  </r>
  <r>
    <x v="1"/>
    <s v="Travel_Rarely"/>
    <x v="0"/>
    <s v="Current Employees"/>
    <x v="1"/>
    <x v="1"/>
    <x v="767"/>
    <n v="1062"/>
    <x v="0"/>
    <x v="4"/>
    <x v="0"/>
    <s v="No"/>
    <s v="Y"/>
    <n v="3"/>
    <n v="-2"/>
    <n v="0"/>
    <x v="2"/>
    <x v="1"/>
    <x v="1"/>
    <n v="0"/>
    <n v="1"/>
    <n v="124"/>
    <n v="3"/>
    <x v="3"/>
    <x v="0"/>
    <n v="4"/>
    <n v="35"/>
    <n v="3"/>
    <n v="2"/>
    <n v="3"/>
    <x v="726"/>
    <n v="13848"/>
    <n v="3"/>
    <n v="15"/>
    <n v="3"/>
    <n v="1"/>
    <n v="80"/>
    <n v="0"/>
    <n v="8"/>
    <n v="2"/>
    <n v="4"/>
    <n v="3"/>
    <n v="0"/>
    <n v="1"/>
  </r>
  <r>
    <x v="1"/>
    <s v="Travel_Rarely"/>
    <x v="0"/>
    <s v="Current Employees"/>
    <x v="0"/>
    <x v="3"/>
    <x v="768"/>
    <n v="1066"/>
    <x v="1"/>
    <x v="0"/>
    <x v="1"/>
    <s v="No"/>
    <s v="Y"/>
    <n v="3"/>
    <n v="-2"/>
    <n v="0"/>
    <x v="32"/>
    <x v="1"/>
    <x v="1"/>
    <n v="0"/>
    <n v="1"/>
    <n v="300"/>
    <n v="26"/>
    <x v="3"/>
    <x v="0"/>
    <n v="3"/>
    <n v="74"/>
    <n v="3"/>
    <n v="2"/>
    <n v="2"/>
    <x v="727"/>
    <n v="22217"/>
    <n v="1"/>
    <n v="14"/>
    <n v="3"/>
    <n v="2"/>
    <n v="80"/>
    <n v="1"/>
    <n v="8"/>
    <n v="2"/>
    <n v="7"/>
    <n v="7"/>
    <n v="7"/>
    <n v="5"/>
  </r>
  <r>
    <x v="1"/>
    <s v="Travel_Frequently"/>
    <x v="2"/>
    <s v="Current Employees"/>
    <x v="1"/>
    <x v="2"/>
    <x v="769"/>
    <n v="1068"/>
    <x v="0"/>
    <x v="1"/>
    <x v="2"/>
    <s v="No"/>
    <s v="Y"/>
    <n v="5"/>
    <n v="-2"/>
    <n v="0"/>
    <x v="25"/>
    <x v="1"/>
    <x v="1"/>
    <n v="0"/>
    <n v="1"/>
    <n v="921"/>
    <n v="1"/>
    <x v="1"/>
    <x v="0"/>
    <n v="1"/>
    <n v="66"/>
    <n v="2"/>
    <n v="1"/>
    <n v="3"/>
    <x v="728"/>
    <n v="25265"/>
    <n v="1"/>
    <n v="13"/>
    <n v="3"/>
    <n v="3"/>
    <n v="80"/>
    <n v="2"/>
    <n v="5"/>
    <n v="3"/>
    <n v="5"/>
    <n v="3"/>
    <n v="1"/>
    <n v="3"/>
  </r>
  <r>
    <x v="1"/>
    <s v="Travel_Rarely"/>
    <x v="1"/>
    <s v="Current Employees"/>
    <x v="1"/>
    <x v="2"/>
    <x v="770"/>
    <n v="1069"/>
    <x v="1"/>
    <x v="7"/>
    <x v="2"/>
    <s v="No"/>
    <s v="Y"/>
    <n v="0"/>
    <n v="-2"/>
    <n v="0"/>
    <x v="21"/>
    <x v="1"/>
    <x v="1"/>
    <n v="0"/>
    <n v="1"/>
    <n v="430"/>
    <n v="1"/>
    <x v="2"/>
    <x v="0"/>
    <n v="4"/>
    <n v="40"/>
    <n v="3"/>
    <n v="5"/>
    <n v="4"/>
    <x v="729"/>
    <n v="21445"/>
    <n v="9"/>
    <n v="17"/>
    <n v="3"/>
    <n v="4"/>
    <n v="80"/>
    <n v="2"/>
    <n v="23"/>
    <n v="3"/>
    <n v="2"/>
    <n v="2"/>
    <n v="2"/>
    <n v="2"/>
  </r>
  <r>
    <x v="1"/>
    <s v="Travel_Rarely"/>
    <x v="1"/>
    <s v="Current Employees"/>
    <x v="0"/>
    <x v="0"/>
    <x v="771"/>
    <n v="1070"/>
    <x v="0"/>
    <x v="0"/>
    <x v="1"/>
    <s v="No"/>
    <s v="Y"/>
    <n v="4"/>
    <n v="-2"/>
    <n v="0"/>
    <x v="33"/>
    <x v="1"/>
    <x v="1"/>
    <n v="0"/>
    <n v="1"/>
    <n v="1082"/>
    <n v="2"/>
    <x v="2"/>
    <x v="0"/>
    <n v="3"/>
    <n v="41"/>
    <n v="2"/>
    <n v="3"/>
    <n v="1"/>
    <x v="730"/>
    <n v="8392"/>
    <n v="6"/>
    <n v="11"/>
    <n v="3"/>
    <n v="2"/>
    <n v="80"/>
    <n v="1"/>
    <n v="13"/>
    <n v="3"/>
    <n v="9"/>
    <n v="4"/>
    <n v="7"/>
    <n v="0"/>
  </r>
  <r>
    <x v="1"/>
    <s v="Travel_Frequently"/>
    <x v="3"/>
    <s v="Current Employees"/>
    <x v="1"/>
    <x v="2"/>
    <x v="772"/>
    <n v="1071"/>
    <x v="0"/>
    <x v="1"/>
    <x v="1"/>
    <s v="No"/>
    <s v="Y"/>
    <n v="4"/>
    <n v="-2"/>
    <n v="0"/>
    <x v="29"/>
    <x v="1"/>
    <x v="1"/>
    <n v="0"/>
    <n v="1"/>
    <n v="1240"/>
    <n v="9"/>
    <x v="3"/>
    <x v="0"/>
    <n v="1"/>
    <n v="63"/>
    <n v="3"/>
    <n v="1"/>
    <n v="3"/>
    <x v="131"/>
    <n v="12154"/>
    <n v="2"/>
    <n v="19"/>
    <n v="3"/>
    <n v="2"/>
    <n v="80"/>
    <n v="1"/>
    <n v="18"/>
    <n v="3"/>
    <n v="5"/>
    <n v="4"/>
    <n v="0"/>
    <n v="3"/>
  </r>
  <r>
    <x v="1"/>
    <s v="Travel_Rarely"/>
    <x v="0"/>
    <s v="Current Employees"/>
    <x v="1"/>
    <x v="2"/>
    <x v="773"/>
    <n v="1073"/>
    <x v="0"/>
    <x v="3"/>
    <x v="0"/>
    <s v="No"/>
    <s v="Y"/>
    <n v="2"/>
    <n v="-2"/>
    <n v="0"/>
    <x v="9"/>
    <x v="1"/>
    <x v="1"/>
    <n v="0"/>
    <n v="1"/>
    <n v="796"/>
    <n v="12"/>
    <x v="4"/>
    <x v="0"/>
    <n v="4"/>
    <n v="51"/>
    <n v="2"/>
    <n v="3"/>
    <n v="4"/>
    <x v="731"/>
    <n v="15669"/>
    <n v="0"/>
    <n v="11"/>
    <n v="3"/>
    <n v="2"/>
    <n v="80"/>
    <n v="0"/>
    <n v="15"/>
    <n v="2"/>
    <n v="14"/>
    <n v="8"/>
    <n v="7"/>
    <n v="8"/>
  </r>
  <r>
    <x v="1"/>
    <s v="Non-Travel"/>
    <x v="3"/>
    <s v="Current Employees"/>
    <x v="1"/>
    <x v="2"/>
    <x v="774"/>
    <n v="1074"/>
    <x v="1"/>
    <x v="5"/>
    <x v="0"/>
    <s v="No"/>
    <s v="Y"/>
    <n v="3"/>
    <n v="-2"/>
    <n v="0"/>
    <x v="27"/>
    <x v="1"/>
    <x v="1"/>
    <n v="0"/>
    <n v="1"/>
    <n v="444"/>
    <n v="2"/>
    <x v="1"/>
    <x v="0"/>
    <n v="3"/>
    <n v="40"/>
    <n v="2"/>
    <n v="4"/>
    <n v="3"/>
    <x v="732"/>
    <n v="17323"/>
    <n v="7"/>
    <n v="15"/>
    <n v="3"/>
    <n v="2"/>
    <n v="80"/>
    <n v="0"/>
    <n v="31"/>
    <n v="4"/>
    <n v="9"/>
    <n v="7"/>
    <n v="6"/>
    <n v="2"/>
  </r>
  <r>
    <x v="1"/>
    <s v="Travel_Rarely"/>
    <x v="0"/>
    <s v="Current Employees"/>
    <x v="0"/>
    <x v="2"/>
    <x v="775"/>
    <n v="1076"/>
    <x v="1"/>
    <x v="0"/>
    <x v="2"/>
    <s v="No"/>
    <s v="Y"/>
    <n v="5"/>
    <n v="-2"/>
    <n v="0"/>
    <x v="23"/>
    <x v="1"/>
    <x v="1"/>
    <n v="0"/>
    <n v="1"/>
    <n v="415"/>
    <n v="25"/>
    <x v="3"/>
    <x v="0"/>
    <n v="3"/>
    <n v="79"/>
    <n v="2"/>
    <n v="3"/>
    <n v="4"/>
    <x v="733"/>
    <n v="5268"/>
    <n v="5"/>
    <n v="13"/>
    <n v="3"/>
    <n v="3"/>
    <n v="80"/>
    <n v="1"/>
    <n v="18"/>
    <n v="3"/>
    <n v="1"/>
    <n v="0"/>
    <n v="0"/>
    <n v="0"/>
  </r>
  <r>
    <x v="0"/>
    <s v="Travel_Frequently"/>
    <x v="4"/>
    <s v="Ex-Employees"/>
    <x v="0"/>
    <x v="3"/>
    <x v="776"/>
    <n v="1077"/>
    <x v="0"/>
    <x v="6"/>
    <x v="0"/>
    <s v="Yes"/>
    <s v="Y"/>
    <n v="3"/>
    <n v="-2"/>
    <n v="0"/>
    <x v="35"/>
    <x v="0"/>
    <x v="0"/>
    <n v="1"/>
    <n v="0"/>
    <n v="769"/>
    <n v="9"/>
    <x v="3"/>
    <x v="0"/>
    <n v="4"/>
    <n v="54"/>
    <n v="3"/>
    <n v="1"/>
    <n v="2"/>
    <x v="157"/>
    <n v="17205"/>
    <n v="1"/>
    <n v="14"/>
    <n v="3"/>
    <n v="2"/>
    <n v="80"/>
    <n v="0"/>
    <n v="2"/>
    <n v="3"/>
    <n v="2"/>
    <n v="2"/>
    <n v="0"/>
    <n v="2"/>
  </r>
  <r>
    <x v="0"/>
    <s v="Travel_Rarely"/>
    <x v="4"/>
    <s v="Ex-Employees"/>
    <x v="1"/>
    <x v="0"/>
    <x v="777"/>
    <n v="1079"/>
    <x v="0"/>
    <x v="2"/>
    <x v="0"/>
    <s v="No"/>
    <s v="Y"/>
    <n v="6"/>
    <n v="-2"/>
    <n v="0"/>
    <x v="18"/>
    <x v="0"/>
    <x v="0"/>
    <n v="1"/>
    <n v="0"/>
    <n v="1334"/>
    <n v="10"/>
    <x v="3"/>
    <x v="0"/>
    <n v="3"/>
    <n v="36"/>
    <n v="2"/>
    <n v="1"/>
    <n v="1"/>
    <x v="734"/>
    <n v="17258"/>
    <n v="1"/>
    <n v="13"/>
    <n v="3"/>
    <n v="1"/>
    <n v="80"/>
    <n v="0"/>
    <n v="1"/>
    <n v="2"/>
    <n v="1"/>
    <n v="0"/>
    <n v="1"/>
    <n v="0"/>
  </r>
  <r>
    <x v="1"/>
    <s v="Travel_Rarely"/>
    <x v="1"/>
    <s v="Current Employees"/>
    <x v="1"/>
    <x v="0"/>
    <x v="778"/>
    <n v="1080"/>
    <x v="0"/>
    <x v="1"/>
    <x v="2"/>
    <s v="Yes"/>
    <s v="Y"/>
    <n v="2"/>
    <n v="-2"/>
    <n v="0"/>
    <x v="21"/>
    <x v="1"/>
    <x v="1"/>
    <n v="0"/>
    <n v="1"/>
    <n v="1003"/>
    <n v="8"/>
    <x v="2"/>
    <x v="0"/>
    <n v="4"/>
    <n v="74"/>
    <n v="2"/>
    <n v="2"/>
    <n v="1"/>
    <x v="735"/>
    <n v="21029"/>
    <n v="8"/>
    <n v="23"/>
    <n v="4"/>
    <n v="1"/>
    <n v="80"/>
    <n v="3"/>
    <n v="19"/>
    <n v="3"/>
    <n v="16"/>
    <n v="13"/>
    <n v="1"/>
    <n v="7"/>
  </r>
  <r>
    <x v="0"/>
    <s v="Travel_Rarely"/>
    <x v="1"/>
    <s v="Ex-Employees"/>
    <x v="1"/>
    <x v="0"/>
    <x v="779"/>
    <n v="1081"/>
    <x v="1"/>
    <x v="1"/>
    <x v="1"/>
    <s v="Yes"/>
    <s v="Y"/>
    <n v="2"/>
    <n v="-2"/>
    <n v="0"/>
    <x v="31"/>
    <x v="0"/>
    <x v="0"/>
    <n v="1"/>
    <n v="0"/>
    <n v="1323"/>
    <n v="4"/>
    <x v="2"/>
    <x v="0"/>
    <n v="1"/>
    <n v="34"/>
    <n v="3"/>
    <n v="1"/>
    <n v="1"/>
    <x v="736"/>
    <n v="10332"/>
    <n v="9"/>
    <n v="12"/>
    <n v="3"/>
    <n v="3"/>
    <n v="80"/>
    <n v="3"/>
    <n v="18"/>
    <n v="4"/>
    <n v="10"/>
    <n v="0"/>
    <n v="2"/>
    <n v="7"/>
  </r>
  <r>
    <x v="0"/>
    <s v="Non-Travel"/>
    <x v="2"/>
    <s v="Ex-Employees"/>
    <x v="1"/>
    <x v="4"/>
    <x v="780"/>
    <n v="1082"/>
    <x v="1"/>
    <x v="4"/>
    <x v="0"/>
    <s v="No"/>
    <s v="Y"/>
    <n v="2"/>
    <n v="-2"/>
    <n v="0"/>
    <x v="14"/>
    <x v="0"/>
    <x v="0"/>
    <n v="1"/>
    <n v="0"/>
    <n v="1366"/>
    <n v="24"/>
    <x v="0"/>
    <x v="0"/>
    <n v="4"/>
    <n v="72"/>
    <n v="2"/>
    <n v="3"/>
    <n v="4"/>
    <x v="737"/>
    <n v="12355"/>
    <n v="1"/>
    <n v="12"/>
    <n v="3"/>
    <n v="1"/>
    <n v="80"/>
    <n v="0"/>
    <n v="10"/>
    <n v="2"/>
    <n v="10"/>
    <n v="7"/>
    <n v="1"/>
    <n v="9"/>
  </r>
  <r>
    <x v="1"/>
    <s v="Travel_Rarely"/>
    <x v="2"/>
    <s v="Current Employees"/>
    <x v="1"/>
    <x v="2"/>
    <x v="781"/>
    <n v="1083"/>
    <x v="1"/>
    <x v="2"/>
    <x v="1"/>
    <s v="No"/>
    <s v="Y"/>
    <n v="2"/>
    <n v="-2"/>
    <n v="0"/>
    <x v="25"/>
    <x v="1"/>
    <x v="1"/>
    <n v="0"/>
    <n v="1"/>
    <n v="192"/>
    <n v="1"/>
    <x v="0"/>
    <x v="0"/>
    <n v="1"/>
    <n v="59"/>
    <n v="2"/>
    <n v="1"/>
    <n v="3"/>
    <x v="738"/>
    <n v="11141"/>
    <n v="1"/>
    <n v="16"/>
    <n v="3"/>
    <n v="1"/>
    <n v="80"/>
    <n v="2"/>
    <n v="6"/>
    <n v="3"/>
    <n v="5"/>
    <n v="3"/>
    <n v="1"/>
    <n v="3"/>
  </r>
  <r>
    <x v="1"/>
    <s v="Travel_Rarely"/>
    <x v="2"/>
    <s v="Current Employees"/>
    <x v="1"/>
    <x v="1"/>
    <x v="782"/>
    <n v="1084"/>
    <x v="1"/>
    <x v="3"/>
    <x v="1"/>
    <s v="No"/>
    <s v="Y"/>
    <n v="1"/>
    <n v="-2"/>
    <n v="0"/>
    <x v="7"/>
    <x v="1"/>
    <x v="1"/>
    <n v="0"/>
    <n v="1"/>
    <n v="1176"/>
    <n v="20"/>
    <x v="3"/>
    <x v="0"/>
    <n v="3"/>
    <n v="85"/>
    <n v="3"/>
    <n v="2"/>
    <n v="3"/>
    <x v="739"/>
    <n v="9096"/>
    <n v="0"/>
    <n v="15"/>
    <n v="3"/>
    <n v="3"/>
    <n v="80"/>
    <n v="1"/>
    <n v="7"/>
    <n v="2"/>
    <n v="6"/>
    <n v="2"/>
    <n v="0"/>
    <n v="2"/>
  </r>
  <r>
    <x v="1"/>
    <s v="Travel_Rarely"/>
    <x v="0"/>
    <s v="Current Employees"/>
    <x v="1"/>
    <x v="4"/>
    <x v="783"/>
    <n v="1085"/>
    <x v="0"/>
    <x v="1"/>
    <x v="1"/>
    <s v="No"/>
    <s v="Y"/>
    <n v="3"/>
    <n v="-2"/>
    <n v="0"/>
    <x v="0"/>
    <x v="1"/>
    <x v="1"/>
    <n v="0"/>
    <n v="1"/>
    <n v="509"/>
    <n v="7"/>
    <x v="0"/>
    <x v="0"/>
    <n v="4"/>
    <n v="43"/>
    <n v="4"/>
    <n v="1"/>
    <n v="4"/>
    <x v="740"/>
    <n v="18863"/>
    <n v="1"/>
    <n v="13"/>
    <n v="3"/>
    <n v="3"/>
    <n v="80"/>
    <n v="0"/>
    <n v="10"/>
    <n v="3"/>
    <n v="10"/>
    <n v="6"/>
    <n v="0"/>
    <n v="8"/>
  </r>
  <r>
    <x v="1"/>
    <s v="Travel_Rarely"/>
    <x v="0"/>
    <s v="Current Employees"/>
    <x v="1"/>
    <x v="0"/>
    <x v="784"/>
    <n v="1088"/>
    <x v="0"/>
    <x v="4"/>
    <x v="1"/>
    <s v="No"/>
    <s v="Y"/>
    <n v="4"/>
    <n v="-2"/>
    <n v="0"/>
    <x v="8"/>
    <x v="1"/>
    <x v="1"/>
    <n v="0"/>
    <n v="1"/>
    <n v="330"/>
    <n v="17"/>
    <x v="1"/>
    <x v="0"/>
    <n v="3"/>
    <n v="65"/>
    <n v="2"/>
    <n v="3"/>
    <n v="1"/>
    <x v="741"/>
    <n v="24608"/>
    <n v="0"/>
    <n v="18"/>
    <n v="3"/>
    <n v="1"/>
    <n v="80"/>
    <n v="1"/>
    <n v="20"/>
    <n v="2"/>
    <n v="19"/>
    <n v="9"/>
    <n v="1"/>
    <n v="9"/>
  </r>
  <r>
    <x v="1"/>
    <s v="Travel_Rarely"/>
    <x v="0"/>
    <s v="Current Employees"/>
    <x v="1"/>
    <x v="4"/>
    <x v="785"/>
    <n v="1092"/>
    <x v="1"/>
    <x v="4"/>
    <x v="1"/>
    <s v="No"/>
    <s v="Y"/>
    <n v="6"/>
    <n v="-2"/>
    <n v="0"/>
    <x v="32"/>
    <x v="1"/>
    <x v="1"/>
    <n v="0"/>
    <n v="1"/>
    <n v="1492"/>
    <n v="20"/>
    <x v="2"/>
    <x v="0"/>
    <n v="4"/>
    <n v="61"/>
    <n v="3"/>
    <n v="3"/>
    <n v="4"/>
    <x v="742"/>
    <n v="26542"/>
    <n v="4"/>
    <n v="20"/>
    <n v="4"/>
    <n v="4"/>
    <n v="80"/>
    <n v="1"/>
    <n v="14"/>
    <n v="3"/>
    <n v="11"/>
    <n v="10"/>
    <n v="11"/>
    <n v="1"/>
  </r>
  <r>
    <x v="1"/>
    <s v="Non-Travel"/>
    <x v="2"/>
    <s v="Current Employees"/>
    <x v="1"/>
    <x v="0"/>
    <x v="786"/>
    <n v="1094"/>
    <x v="1"/>
    <x v="2"/>
    <x v="1"/>
    <s v="No"/>
    <s v="Y"/>
    <n v="4"/>
    <n v="-2"/>
    <n v="0"/>
    <x v="4"/>
    <x v="1"/>
    <x v="1"/>
    <n v="0"/>
    <n v="1"/>
    <n v="1277"/>
    <n v="8"/>
    <x v="4"/>
    <x v="0"/>
    <n v="1"/>
    <n v="87"/>
    <n v="1"/>
    <n v="1"/>
    <n v="1"/>
    <x v="743"/>
    <n v="5869"/>
    <n v="1"/>
    <n v="19"/>
    <n v="3"/>
    <n v="4"/>
    <n v="80"/>
    <n v="3"/>
    <n v="3"/>
    <n v="3"/>
    <n v="3"/>
    <n v="2"/>
    <n v="1"/>
    <n v="2"/>
  </r>
  <r>
    <x v="1"/>
    <s v="Travel_Frequently"/>
    <x v="3"/>
    <s v="Current Employees"/>
    <x v="1"/>
    <x v="0"/>
    <x v="787"/>
    <n v="1096"/>
    <x v="1"/>
    <x v="3"/>
    <x v="1"/>
    <s v="No"/>
    <s v="Y"/>
    <n v="4"/>
    <n v="-2"/>
    <n v="0"/>
    <x v="27"/>
    <x v="1"/>
    <x v="1"/>
    <n v="0"/>
    <n v="1"/>
    <n v="1091"/>
    <n v="2"/>
    <x v="1"/>
    <x v="0"/>
    <n v="4"/>
    <n v="65"/>
    <n v="3"/>
    <n v="3"/>
    <n v="1"/>
    <x v="744"/>
    <n v="15813"/>
    <n v="3"/>
    <n v="18"/>
    <n v="3"/>
    <n v="2"/>
    <n v="80"/>
    <n v="1"/>
    <n v="23"/>
    <n v="3"/>
    <n v="3"/>
    <n v="2"/>
    <n v="1"/>
    <n v="2"/>
  </r>
  <r>
    <x v="1"/>
    <s v="Travel_Rarely"/>
    <x v="2"/>
    <s v="Current Employees"/>
    <x v="1"/>
    <x v="1"/>
    <x v="788"/>
    <n v="1097"/>
    <x v="0"/>
    <x v="1"/>
    <x v="0"/>
    <s v="No"/>
    <s v="Y"/>
    <n v="4"/>
    <n v="-2"/>
    <n v="0"/>
    <x v="14"/>
    <x v="1"/>
    <x v="1"/>
    <n v="0"/>
    <n v="1"/>
    <n v="857"/>
    <n v="10"/>
    <x v="3"/>
    <x v="0"/>
    <n v="3"/>
    <n v="59"/>
    <n v="3"/>
    <n v="2"/>
    <n v="3"/>
    <x v="745"/>
    <n v="7909"/>
    <n v="3"/>
    <n v="13"/>
    <n v="3"/>
    <n v="4"/>
    <n v="80"/>
    <n v="0"/>
    <n v="10"/>
    <n v="4"/>
    <n v="8"/>
    <n v="7"/>
    <n v="1"/>
    <n v="7"/>
  </r>
  <r>
    <x v="0"/>
    <s v="Travel_Rarely"/>
    <x v="0"/>
    <s v="Ex-Employees"/>
    <x v="2"/>
    <x v="2"/>
    <x v="789"/>
    <n v="1098"/>
    <x v="1"/>
    <x v="8"/>
    <x v="1"/>
    <s v="No"/>
    <s v="Y"/>
    <n v="1"/>
    <n v="-2"/>
    <n v="0"/>
    <x v="20"/>
    <x v="0"/>
    <x v="0"/>
    <n v="1"/>
    <n v="0"/>
    <n v="1376"/>
    <n v="1"/>
    <x v="0"/>
    <x v="0"/>
    <n v="2"/>
    <n v="91"/>
    <n v="2"/>
    <n v="3"/>
    <n v="3"/>
    <x v="746"/>
    <n v="2326"/>
    <n v="9"/>
    <n v="14"/>
    <n v="3"/>
    <n v="4"/>
    <n v="80"/>
    <n v="1"/>
    <n v="24"/>
    <n v="3"/>
    <n v="20"/>
    <n v="6"/>
    <n v="3"/>
    <n v="6"/>
  </r>
  <r>
    <x v="1"/>
    <s v="Travel_Rarely"/>
    <x v="2"/>
    <s v="Current Employees"/>
    <x v="1"/>
    <x v="0"/>
    <x v="790"/>
    <n v="1099"/>
    <x v="1"/>
    <x v="4"/>
    <x v="2"/>
    <s v="No"/>
    <s v="Y"/>
    <n v="2"/>
    <n v="-2"/>
    <n v="0"/>
    <x v="3"/>
    <x v="1"/>
    <x v="1"/>
    <n v="0"/>
    <n v="1"/>
    <n v="654"/>
    <n v="5"/>
    <x v="3"/>
    <x v="0"/>
    <n v="4"/>
    <n v="34"/>
    <n v="2"/>
    <n v="3"/>
    <n v="1"/>
    <x v="747"/>
    <n v="21214"/>
    <n v="4"/>
    <n v="15"/>
    <n v="3"/>
    <n v="3"/>
    <n v="80"/>
    <n v="1"/>
    <n v="9"/>
    <n v="3"/>
    <n v="3"/>
    <n v="2"/>
    <n v="1"/>
    <n v="2"/>
  </r>
  <r>
    <x v="0"/>
    <s v="Travel_Rarely"/>
    <x v="0"/>
    <s v="Ex-Employees"/>
    <x v="0"/>
    <x v="4"/>
    <x v="791"/>
    <n v="1100"/>
    <x v="1"/>
    <x v="0"/>
    <x v="0"/>
    <s v="Yes"/>
    <s v="Y"/>
    <n v="2"/>
    <n v="-2"/>
    <n v="0"/>
    <x v="10"/>
    <x v="0"/>
    <x v="0"/>
    <n v="1"/>
    <n v="0"/>
    <n v="1204"/>
    <n v="4"/>
    <x v="3"/>
    <x v="0"/>
    <n v="4"/>
    <n v="86"/>
    <n v="3"/>
    <n v="3"/>
    <n v="4"/>
    <x v="748"/>
    <n v="10333"/>
    <n v="0"/>
    <n v="22"/>
    <n v="4"/>
    <n v="1"/>
    <n v="80"/>
    <n v="0"/>
    <n v="9"/>
    <n v="3"/>
    <n v="8"/>
    <n v="7"/>
    <n v="4"/>
    <n v="7"/>
  </r>
  <r>
    <x v="0"/>
    <s v="Travel_Frequently"/>
    <x v="2"/>
    <s v="Ex-Employees"/>
    <x v="1"/>
    <x v="2"/>
    <x v="792"/>
    <n v="1101"/>
    <x v="0"/>
    <x v="1"/>
    <x v="0"/>
    <s v="No"/>
    <s v="Y"/>
    <n v="4"/>
    <n v="-2"/>
    <n v="0"/>
    <x v="3"/>
    <x v="0"/>
    <x v="0"/>
    <n v="1"/>
    <n v="0"/>
    <n v="827"/>
    <n v="29"/>
    <x v="2"/>
    <x v="0"/>
    <n v="1"/>
    <n v="54"/>
    <n v="2"/>
    <n v="2"/>
    <n v="3"/>
    <x v="749"/>
    <n v="3129"/>
    <n v="1"/>
    <n v="22"/>
    <n v="4"/>
    <n v="2"/>
    <n v="80"/>
    <n v="0"/>
    <n v="14"/>
    <n v="3"/>
    <n v="13"/>
    <n v="7"/>
    <n v="3"/>
    <n v="8"/>
  </r>
  <r>
    <x v="1"/>
    <s v="Travel_Rarely"/>
    <x v="2"/>
    <s v="Current Employees"/>
    <x v="1"/>
    <x v="0"/>
    <x v="793"/>
    <n v="1102"/>
    <x v="1"/>
    <x v="2"/>
    <x v="2"/>
    <s v="No"/>
    <s v="Y"/>
    <n v="5"/>
    <n v="-2"/>
    <n v="0"/>
    <x v="14"/>
    <x v="1"/>
    <x v="1"/>
    <n v="0"/>
    <n v="1"/>
    <n v="895"/>
    <n v="15"/>
    <x v="0"/>
    <x v="0"/>
    <n v="1"/>
    <n v="50"/>
    <n v="3"/>
    <n v="1"/>
    <n v="1"/>
    <x v="750"/>
    <n v="22482"/>
    <n v="1"/>
    <n v="16"/>
    <n v="3"/>
    <n v="4"/>
    <n v="80"/>
    <n v="1"/>
    <n v="4"/>
    <n v="2"/>
    <n v="4"/>
    <n v="2"/>
    <n v="2"/>
    <n v="2"/>
  </r>
  <r>
    <x v="1"/>
    <s v="Travel_Frequently"/>
    <x v="2"/>
    <s v="Current Employees"/>
    <x v="1"/>
    <x v="0"/>
    <x v="794"/>
    <n v="1103"/>
    <x v="1"/>
    <x v="4"/>
    <x v="0"/>
    <s v="No"/>
    <s v="Y"/>
    <n v="1"/>
    <n v="-2"/>
    <n v="0"/>
    <x v="13"/>
    <x v="1"/>
    <x v="1"/>
    <n v="0"/>
    <n v="1"/>
    <n v="618"/>
    <n v="3"/>
    <x v="1"/>
    <x v="0"/>
    <n v="1"/>
    <n v="45"/>
    <n v="3"/>
    <n v="2"/>
    <n v="1"/>
    <x v="751"/>
    <n v="22266"/>
    <n v="0"/>
    <n v="17"/>
    <n v="3"/>
    <n v="3"/>
    <n v="80"/>
    <n v="0"/>
    <n v="7"/>
    <n v="2"/>
    <n v="6"/>
    <n v="2"/>
    <n v="0"/>
    <n v="4"/>
  </r>
  <r>
    <x v="1"/>
    <s v="Travel_Rarely"/>
    <x v="0"/>
    <s v="Current Employees"/>
    <x v="0"/>
    <x v="0"/>
    <x v="795"/>
    <n v="1105"/>
    <x v="0"/>
    <x v="0"/>
    <x v="2"/>
    <s v="Yes"/>
    <s v="Y"/>
    <n v="5"/>
    <n v="-2"/>
    <n v="0"/>
    <x v="2"/>
    <x v="1"/>
    <x v="1"/>
    <n v="0"/>
    <n v="1"/>
    <n v="309"/>
    <n v="10"/>
    <x v="2"/>
    <x v="0"/>
    <n v="4"/>
    <n v="88"/>
    <n v="2"/>
    <n v="2"/>
    <n v="1"/>
    <x v="752"/>
    <n v="24223"/>
    <n v="2"/>
    <n v="14"/>
    <n v="3"/>
    <n v="3"/>
    <n v="80"/>
    <n v="3"/>
    <n v="8"/>
    <n v="3"/>
    <n v="1"/>
    <n v="0"/>
    <n v="0"/>
    <n v="0"/>
  </r>
  <r>
    <x v="0"/>
    <s v="Travel_Rarely"/>
    <x v="2"/>
    <s v="Ex-Employees"/>
    <x v="1"/>
    <x v="4"/>
    <x v="796"/>
    <n v="1106"/>
    <x v="1"/>
    <x v="2"/>
    <x v="1"/>
    <s v="Yes"/>
    <s v="Y"/>
    <n v="3"/>
    <n v="-2"/>
    <n v="0"/>
    <x v="36"/>
    <x v="0"/>
    <x v="0"/>
    <n v="1"/>
    <n v="0"/>
    <n v="1219"/>
    <n v="4"/>
    <x v="1"/>
    <x v="0"/>
    <n v="4"/>
    <n v="32"/>
    <n v="3"/>
    <n v="1"/>
    <n v="4"/>
    <x v="753"/>
    <n v="4605"/>
    <n v="1"/>
    <n v="15"/>
    <n v="3"/>
    <n v="2"/>
    <n v="80"/>
    <n v="1"/>
    <n v="7"/>
    <n v="4"/>
    <n v="7"/>
    <n v="7"/>
    <n v="5"/>
    <n v="6"/>
  </r>
  <r>
    <x v="0"/>
    <s v="Travel_Rarely"/>
    <x v="2"/>
    <s v="Ex-Employees"/>
    <x v="1"/>
    <x v="2"/>
    <x v="797"/>
    <n v="1107"/>
    <x v="1"/>
    <x v="2"/>
    <x v="2"/>
    <s v="No"/>
    <s v="Y"/>
    <n v="0"/>
    <n v="-2"/>
    <n v="0"/>
    <x v="25"/>
    <x v="0"/>
    <x v="0"/>
    <n v="1"/>
    <n v="0"/>
    <n v="1330"/>
    <n v="21"/>
    <x v="3"/>
    <x v="0"/>
    <n v="1"/>
    <n v="37"/>
    <n v="3"/>
    <n v="1"/>
    <n v="3"/>
    <x v="638"/>
    <n v="19373"/>
    <n v="1"/>
    <n v="20"/>
    <n v="4"/>
    <n v="3"/>
    <n v="80"/>
    <n v="1"/>
    <n v="1"/>
    <n v="2"/>
    <n v="1"/>
    <n v="1"/>
    <n v="0"/>
    <n v="0"/>
  </r>
  <r>
    <x v="0"/>
    <s v="Travel_Rarely"/>
    <x v="2"/>
    <s v="Ex-Employees"/>
    <x v="1"/>
    <x v="2"/>
    <x v="798"/>
    <n v="1108"/>
    <x v="1"/>
    <x v="1"/>
    <x v="0"/>
    <s v="Yes"/>
    <s v="Y"/>
    <n v="0"/>
    <n v="-2"/>
    <n v="0"/>
    <x v="3"/>
    <x v="0"/>
    <x v="0"/>
    <n v="1"/>
    <n v="0"/>
    <n v="1017"/>
    <n v="25"/>
    <x v="3"/>
    <x v="0"/>
    <n v="1"/>
    <n v="55"/>
    <n v="2"/>
    <n v="1"/>
    <n v="3"/>
    <x v="754"/>
    <n v="2993"/>
    <n v="4"/>
    <n v="20"/>
    <n v="4"/>
    <n v="2"/>
    <n v="80"/>
    <n v="0"/>
    <n v="5"/>
    <n v="3"/>
    <n v="2"/>
    <n v="2"/>
    <n v="2"/>
    <n v="2"/>
  </r>
  <r>
    <x v="1"/>
    <s v="Travel_Rarely"/>
    <x v="0"/>
    <s v="Current Employees"/>
    <x v="1"/>
    <x v="2"/>
    <x v="799"/>
    <n v="1109"/>
    <x v="1"/>
    <x v="5"/>
    <x v="1"/>
    <s v="No"/>
    <s v="Y"/>
    <n v="3"/>
    <n v="-2"/>
    <n v="0"/>
    <x v="19"/>
    <x v="1"/>
    <x v="1"/>
    <n v="0"/>
    <n v="1"/>
    <n v="469"/>
    <n v="2"/>
    <x v="0"/>
    <x v="0"/>
    <n v="4"/>
    <n v="35"/>
    <n v="3"/>
    <n v="4"/>
    <n v="3"/>
    <x v="755"/>
    <n v="14399"/>
    <n v="0"/>
    <n v="17"/>
    <n v="3"/>
    <n v="4"/>
    <n v="80"/>
    <n v="1"/>
    <n v="23"/>
    <n v="3"/>
    <n v="22"/>
    <n v="6"/>
    <n v="13"/>
    <n v="7"/>
  </r>
  <r>
    <x v="0"/>
    <s v="Travel_Frequently"/>
    <x v="2"/>
    <s v="Ex-Employees"/>
    <x v="1"/>
    <x v="2"/>
    <x v="800"/>
    <n v="1111"/>
    <x v="1"/>
    <x v="2"/>
    <x v="2"/>
    <s v="No"/>
    <s v="Y"/>
    <n v="2"/>
    <n v="-2"/>
    <n v="0"/>
    <x v="14"/>
    <x v="0"/>
    <x v="0"/>
    <n v="1"/>
    <n v="0"/>
    <n v="1009"/>
    <n v="1"/>
    <x v="3"/>
    <x v="0"/>
    <n v="1"/>
    <n v="45"/>
    <n v="2"/>
    <n v="1"/>
    <n v="3"/>
    <x v="756"/>
    <n v="7160"/>
    <n v="1"/>
    <n v="15"/>
    <n v="3"/>
    <n v="1"/>
    <n v="80"/>
    <n v="2"/>
    <n v="1"/>
    <n v="3"/>
    <n v="1"/>
    <n v="0"/>
    <n v="0"/>
    <n v="0"/>
  </r>
  <r>
    <x v="0"/>
    <s v="Travel_Frequently"/>
    <x v="1"/>
    <s v="Ex-Employees"/>
    <x v="0"/>
    <x v="1"/>
    <x v="801"/>
    <n v="1113"/>
    <x v="1"/>
    <x v="0"/>
    <x v="0"/>
    <s v="Yes"/>
    <s v="Y"/>
    <n v="4"/>
    <n v="-2"/>
    <n v="0"/>
    <x v="24"/>
    <x v="0"/>
    <x v="0"/>
    <n v="1"/>
    <n v="0"/>
    <n v="959"/>
    <n v="1"/>
    <x v="2"/>
    <x v="0"/>
    <n v="4"/>
    <n v="81"/>
    <n v="3"/>
    <n v="2"/>
    <n v="3"/>
    <x v="757"/>
    <n v="17251"/>
    <n v="3"/>
    <n v="14"/>
    <n v="3"/>
    <n v="4"/>
    <n v="80"/>
    <n v="0"/>
    <n v="5"/>
    <n v="3"/>
    <n v="0"/>
    <n v="0"/>
    <n v="0"/>
    <n v="0"/>
  </r>
  <r>
    <x v="1"/>
    <s v="Travel_Frequently"/>
    <x v="2"/>
    <s v="Current Employees"/>
    <x v="0"/>
    <x v="0"/>
    <x v="802"/>
    <n v="1114"/>
    <x v="0"/>
    <x v="0"/>
    <x v="1"/>
    <s v="No"/>
    <s v="Y"/>
    <n v="3"/>
    <n v="-2"/>
    <n v="0"/>
    <x v="3"/>
    <x v="1"/>
    <x v="1"/>
    <n v="0"/>
    <n v="1"/>
    <n v="970"/>
    <n v="7"/>
    <x v="3"/>
    <x v="0"/>
    <n v="4"/>
    <n v="30"/>
    <n v="3"/>
    <n v="2"/>
    <n v="1"/>
    <x v="758"/>
    <n v="13401"/>
    <n v="0"/>
    <n v="17"/>
    <n v="3"/>
    <n v="3"/>
    <n v="80"/>
    <n v="1"/>
    <n v="4"/>
    <n v="3"/>
    <n v="3"/>
    <n v="2"/>
    <n v="0"/>
    <n v="2"/>
  </r>
  <r>
    <x v="1"/>
    <s v="Non-Travel"/>
    <x v="2"/>
    <s v="Current Employees"/>
    <x v="1"/>
    <x v="0"/>
    <x v="803"/>
    <n v="1115"/>
    <x v="1"/>
    <x v="1"/>
    <x v="1"/>
    <s v="No"/>
    <s v="Y"/>
    <n v="2"/>
    <n v="-2"/>
    <n v="0"/>
    <x v="13"/>
    <x v="1"/>
    <x v="1"/>
    <n v="0"/>
    <n v="1"/>
    <n v="697"/>
    <n v="3"/>
    <x v="2"/>
    <x v="0"/>
    <n v="3"/>
    <n v="40"/>
    <n v="2"/>
    <n v="1"/>
    <n v="1"/>
    <x v="759"/>
    <n v="22478"/>
    <n v="3"/>
    <n v="17"/>
    <n v="3"/>
    <n v="4"/>
    <n v="80"/>
    <n v="3"/>
    <n v="6"/>
    <n v="3"/>
    <n v="0"/>
    <n v="0"/>
    <n v="0"/>
    <n v="0"/>
  </r>
  <r>
    <x v="1"/>
    <s v="Non-Travel"/>
    <x v="1"/>
    <s v="Current Employees"/>
    <x v="1"/>
    <x v="2"/>
    <x v="804"/>
    <n v="1116"/>
    <x v="1"/>
    <x v="5"/>
    <x v="0"/>
    <s v="No"/>
    <s v="Y"/>
    <n v="3"/>
    <n v="-2"/>
    <n v="0"/>
    <x v="26"/>
    <x v="1"/>
    <x v="1"/>
    <n v="0"/>
    <n v="1"/>
    <n v="1262"/>
    <n v="1"/>
    <x v="2"/>
    <x v="0"/>
    <n v="1"/>
    <n v="35"/>
    <n v="4"/>
    <n v="4"/>
    <n v="4"/>
    <x v="760"/>
    <n v="16154"/>
    <n v="2"/>
    <n v="22"/>
    <n v="4"/>
    <n v="3"/>
    <n v="80"/>
    <n v="0"/>
    <n v="27"/>
    <n v="2"/>
    <n v="5"/>
    <n v="4"/>
    <n v="2"/>
    <n v="1"/>
  </r>
  <r>
    <x v="1"/>
    <s v="Non-Travel"/>
    <x v="1"/>
    <s v="Current Employees"/>
    <x v="0"/>
    <x v="0"/>
    <x v="805"/>
    <n v="1117"/>
    <x v="0"/>
    <x v="0"/>
    <x v="1"/>
    <s v="No"/>
    <s v="Y"/>
    <n v="2"/>
    <n v="-2"/>
    <n v="0"/>
    <x v="28"/>
    <x v="1"/>
    <x v="1"/>
    <n v="0"/>
    <n v="1"/>
    <n v="1050"/>
    <n v="9"/>
    <x v="2"/>
    <x v="0"/>
    <n v="2"/>
    <n v="65"/>
    <n v="2"/>
    <n v="2"/>
    <n v="1"/>
    <x v="761"/>
    <n v="17970"/>
    <n v="1"/>
    <n v="13"/>
    <n v="3"/>
    <n v="4"/>
    <n v="80"/>
    <n v="1"/>
    <n v="15"/>
    <n v="3"/>
    <n v="15"/>
    <n v="10"/>
    <n v="4"/>
    <n v="12"/>
  </r>
  <r>
    <x v="1"/>
    <s v="Travel_Rarely"/>
    <x v="1"/>
    <s v="Current Employees"/>
    <x v="1"/>
    <x v="0"/>
    <x v="806"/>
    <n v="1118"/>
    <x v="1"/>
    <x v="4"/>
    <x v="0"/>
    <s v="No"/>
    <s v="Y"/>
    <n v="4"/>
    <n v="-2"/>
    <n v="0"/>
    <x v="39"/>
    <x v="1"/>
    <x v="1"/>
    <n v="0"/>
    <n v="1"/>
    <n v="994"/>
    <n v="7"/>
    <x v="2"/>
    <x v="0"/>
    <n v="2"/>
    <n v="87"/>
    <n v="3"/>
    <n v="3"/>
    <n v="1"/>
    <x v="762"/>
    <n v="15322"/>
    <n v="7"/>
    <n v="19"/>
    <n v="3"/>
    <n v="4"/>
    <n v="80"/>
    <n v="0"/>
    <n v="18"/>
    <n v="3"/>
    <n v="8"/>
    <n v="6"/>
    <n v="4"/>
    <n v="0"/>
  </r>
  <r>
    <x v="1"/>
    <s v="Travel_Rarely"/>
    <x v="0"/>
    <s v="Current Employees"/>
    <x v="0"/>
    <x v="3"/>
    <x v="807"/>
    <n v="1119"/>
    <x v="1"/>
    <x v="0"/>
    <x v="2"/>
    <s v="Yes"/>
    <s v="Y"/>
    <n v="2"/>
    <n v="-2"/>
    <n v="0"/>
    <x v="8"/>
    <x v="1"/>
    <x v="1"/>
    <n v="0"/>
    <n v="1"/>
    <n v="770"/>
    <n v="10"/>
    <x v="2"/>
    <x v="0"/>
    <n v="3"/>
    <n v="73"/>
    <n v="2"/>
    <n v="3"/>
    <n v="2"/>
    <x v="763"/>
    <n v="5569"/>
    <n v="0"/>
    <n v="14"/>
    <n v="3"/>
    <n v="2"/>
    <n v="80"/>
    <n v="2"/>
    <n v="9"/>
    <n v="3"/>
    <n v="8"/>
    <n v="7"/>
    <n v="2"/>
    <n v="7"/>
  </r>
  <r>
    <x v="1"/>
    <s v="Travel_Rarely"/>
    <x v="2"/>
    <s v="Current Employees"/>
    <x v="1"/>
    <x v="0"/>
    <x v="808"/>
    <n v="1120"/>
    <x v="0"/>
    <x v="1"/>
    <x v="2"/>
    <s v="No"/>
    <s v="Y"/>
    <n v="1"/>
    <n v="-2"/>
    <n v="0"/>
    <x v="11"/>
    <x v="1"/>
    <x v="1"/>
    <n v="0"/>
    <n v="1"/>
    <n v="1107"/>
    <n v="28"/>
    <x v="2"/>
    <x v="0"/>
    <n v="3"/>
    <n v="93"/>
    <n v="3"/>
    <n v="1"/>
    <n v="1"/>
    <x v="764"/>
    <n v="26968"/>
    <n v="4"/>
    <n v="22"/>
    <n v="4"/>
    <n v="1"/>
    <n v="80"/>
    <n v="1"/>
    <n v="11"/>
    <n v="3"/>
    <n v="7"/>
    <n v="5"/>
    <n v="1"/>
    <n v="7"/>
  </r>
  <r>
    <x v="1"/>
    <s v="Travel_Rarely"/>
    <x v="2"/>
    <s v="Current Employees"/>
    <x v="1"/>
    <x v="2"/>
    <x v="809"/>
    <n v="1121"/>
    <x v="0"/>
    <x v="3"/>
    <x v="2"/>
    <s v="No"/>
    <s v="Y"/>
    <n v="3"/>
    <n v="-2"/>
    <n v="0"/>
    <x v="14"/>
    <x v="1"/>
    <x v="1"/>
    <n v="0"/>
    <n v="1"/>
    <n v="950"/>
    <n v="3"/>
    <x v="3"/>
    <x v="0"/>
    <n v="4"/>
    <n v="93"/>
    <n v="3"/>
    <n v="3"/>
    <n v="3"/>
    <x v="765"/>
    <n v="8039"/>
    <n v="0"/>
    <n v="17"/>
    <n v="3"/>
    <n v="2"/>
    <n v="80"/>
    <n v="3"/>
    <n v="10"/>
    <n v="2"/>
    <n v="9"/>
    <n v="7"/>
    <n v="1"/>
    <n v="7"/>
  </r>
  <r>
    <x v="1"/>
    <s v="Travel_Rarely"/>
    <x v="1"/>
    <s v="Current Employees"/>
    <x v="0"/>
    <x v="3"/>
    <x v="810"/>
    <n v="1124"/>
    <x v="1"/>
    <x v="5"/>
    <x v="1"/>
    <s v="No"/>
    <s v="Y"/>
    <n v="3"/>
    <n v="-2"/>
    <n v="0"/>
    <x v="21"/>
    <x v="1"/>
    <x v="1"/>
    <n v="0"/>
    <n v="1"/>
    <n v="406"/>
    <n v="3"/>
    <x v="1"/>
    <x v="0"/>
    <n v="1"/>
    <n v="52"/>
    <n v="3"/>
    <n v="4"/>
    <n v="2"/>
    <x v="766"/>
    <n v="15596"/>
    <n v="3"/>
    <n v="12"/>
    <n v="3"/>
    <n v="4"/>
    <n v="80"/>
    <n v="1"/>
    <n v="23"/>
    <n v="3"/>
    <n v="12"/>
    <n v="9"/>
    <n v="4"/>
    <n v="9"/>
  </r>
  <r>
    <x v="1"/>
    <s v="Travel_Rarely"/>
    <x v="0"/>
    <s v="Current Employees"/>
    <x v="0"/>
    <x v="3"/>
    <x v="811"/>
    <n v="1125"/>
    <x v="1"/>
    <x v="0"/>
    <x v="0"/>
    <s v="No"/>
    <s v="Y"/>
    <n v="2"/>
    <n v="-2"/>
    <n v="0"/>
    <x v="8"/>
    <x v="1"/>
    <x v="1"/>
    <n v="0"/>
    <n v="1"/>
    <n v="130"/>
    <n v="2"/>
    <x v="0"/>
    <x v="0"/>
    <n v="4"/>
    <n v="32"/>
    <n v="3"/>
    <n v="3"/>
    <n v="2"/>
    <x v="767"/>
    <n v="20619"/>
    <n v="7"/>
    <n v="16"/>
    <n v="3"/>
    <n v="3"/>
    <n v="80"/>
    <n v="0"/>
    <n v="10"/>
    <n v="3"/>
    <n v="1"/>
    <n v="0"/>
    <n v="0"/>
    <n v="0"/>
  </r>
  <r>
    <x v="1"/>
    <s v="Travel_Frequently"/>
    <x v="0"/>
    <s v="Current Employees"/>
    <x v="1"/>
    <x v="0"/>
    <x v="812"/>
    <n v="1126"/>
    <x v="0"/>
    <x v="3"/>
    <x v="1"/>
    <s v="No"/>
    <s v="Y"/>
    <n v="1"/>
    <n v="-2"/>
    <n v="0"/>
    <x v="23"/>
    <x v="1"/>
    <x v="1"/>
    <n v="0"/>
    <n v="1"/>
    <n v="1082"/>
    <n v="27"/>
    <x v="3"/>
    <x v="0"/>
    <n v="3"/>
    <n v="83"/>
    <n v="3"/>
    <n v="3"/>
    <n v="1"/>
    <x v="768"/>
    <n v="11535"/>
    <n v="8"/>
    <n v="11"/>
    <n v="3"/>
    <n v="3"/>
    <n v="80"/>
    <n v="1"/>
    <n v="18"/>
    <n v="3"/>
    <n v="8"/>
    <n v="7"/>
    <n v="0"/>
    <n v="1"/>
  </r>
  <r>
    <x v="0"/>
    <s v="Travel_Frequently"/>
    <x v="0"/>
    <s v="Ex-Employees"/>
    <x v="1"/>
    <x v="0"/>
    <x v="813"/>
    <n v="1127"/>
    <x v="1"/>
    <x v="4"/>
    <x v="2"/>
    <s v="No"/>
    <s v="Y"/>
    <n v="4"/>
    <n v="-2"/>
    <n v="0"/>
    <x v="22"/>
    <x v="0"/>
    <x v="0"/>
    <n v="1"/>
    <n v="0"/>
    <n v="203"/>
    <n v="2"/>
    <x v="3"/>
    <x v="0"/>
    <n v="1"/>
    <n v="84"/>
    <n v="3"/>
    <n v="4"/>
    <n v="1"/>
    <x v="769"/>
    <n v="13547"/>
    <n v="7"/>
    <n v="11"/>
    <n v="3"/>
    <n v="4"/>
    <n v="80"/>
    <n v="3"/>
    <n v="21"/>
    <n v="3"/>
    <n v="18"/>
    <n v="7"/>
    <n v="11"/>
    <n v="5"/>
  </r>
  <r>
    <x v="1"/>
    <s v="Travel_Rarely"/>
    <x v="0"/>
    <s v="Current Employees"/>
    <x v="1"/>
    <x v="2"/>
    <x v="814"/>
    <n v="1128"/>
    <x v="1"/>
    <x v="7"/>
    <x v="0"/>
    <s v="No"/>
    <s v="Y"/>
    <n v="2"/>
    <n v="-2"/>
    <n v="0"/>
    <x v="32"/>
    <x v="1"/>
    <x v="1"/>
    <n v="0"/>
    <n v="1"/>
    <n v="1308"/>
    <n v="14"/>
    <x v="3"/>
    <x v="0"/>
    <n v="3"/>
    <n v="44"/>
    <n v="2"/>
    <n v="5"/>
    <n v="3"/>
    <x v="770"/>
    <n v="17544"/>
    <n v="1"/>
    <n v="14"/>
    <n v="3"/>
    <n v="1"/>
    <n v="80"/>
    <n v="0"/>
    <n v="21"/>
    <n v="4"/>
    <n v="20"/>
    <n v="7"/>
    <n v="4"/>
    <n v="9"/>
  </r>
  <r>
    <x v="1"/>
    <s v="Travel_Rarely"/>
    <x v="4"/>
    <s v="Current Employees"/>
    <x v="1"/>
    <x v="4"/>
    <x v="815"/>
    <n v="1131"/>
    <x v="0"/>
    <x v="1"/>
    <x v="0"/>
    <s v="Yes"/>
    <s v="Y"/>
    <n v="6"/>
    <n v="-2"/>
    <n v="0"/>
    <x v="18"/>
    <x v="1"/>
    <x v="1"/>
    <n v="0"/>
    <n v="1"/>
    <n v="984"/>
    <n v="1"/>
    <x v="1"/>
    <x v="0"/>
    <n v="4"/>
    <n v="70"/>
    <n v="2"/>
    <n v="1"/>
    <n v="4"/>
    <x v="266"/>
    <n v="25326"/>
    <n v="1"/>
    <n v="11"/>
    <n v="3"/>
    <n v="3"/>
    <n v="80"/>
    <n v="0"/>
    <n v="2"/>
    <n v="4"/>
    <n v="2"/>
    <n v="2"/>
    <n v="2"/>
    <n v="2"/>
  </r>
  <r>
    <x v="1"/>
    <s v="Non-Travel"/>
    <x v="0"/>
    <s v="Current Employees"/>
    <x v="1"/>
    <x v="0"/>
    <x v="816"/>
    <n v="1132"/>
    <x v="1"/>
    <x v="2"/>
    <x v="0"/>
    <s v="No"/>
    <s v="Y"/>
    <n v="2"/>
    <n v="-2"/>
    <n v="0"/>
    <x v="22"/>
    <x v="1"/>
    <x v="1"/>
    <n v="0"/>
    <n v="1"/>
    <n v="439"/>
    <n v="9"/>
    <x v="3"/>
    <x v="0"/>
    <n v="3"/>
    <n v="70"/>
    <n v="3"/>
    <n v="2"/>
    <n v="1"/>
    <x v="771"/>
    <n v="8770"/>
    <n v="9"/>
    <n v="15"/>
    <n v="3"/>
    <n v="3"/>
    <n v="80"/>
    <n v="0"/>
    <n v="9"/>
    <n v="2"/>
    <n v="5"/>
    <n v="4"/>
    <n v="0"/>
    <n v="3"/>
  </r>
  <r>
    <x v="1"/>
    <s v="Non-Travel"/>
    <x v="0"/>
    <s v="Current Employees"/>
    <x v="1"/>
    <x v="0"/>
    <x v="817"/>
    <n v="1133"/>
    <x v="1"/>
    <x v="3"/>
    <x v="0"/>
    <s v="No"/>
    <s v="Y"/>
    <n v="0"/>
    <n v="-2"/>
    <n v="0"/>
    <x v="9"/>
    <x v="1"/>
    <x v="1"/>
    <n v="0"/>
    <n v="1"/>
    <n v="217"/>
    <n v="18"/>
    <x v="2"/>
    <x v="0"/>
    <n v="1"/>
    <n v="78"/>
    <n v="3"/>
    <n v="2"/>
    <n v="1"/>
    <x v="772"/>
    <n v="23238"/>
    <n v="2"/>
    <n v="20"/>
    <n v="4"/>
    <n v="1"/>
    <n v="80"/>
    <n v="0"/>
    <n v="18"/>
    <n v="3"/>
    <n v="11"/>
    <n v="9"/>
    <n v="0"/>
    <n v="9"/>
  </r>
  <r>
    <x v="1"/>
    <s v="Travel_Frequently"/>
    <x v="2"/>
    <s v="Current Employees"/>
    <x v="0"/>
    <x v="0"/>
    <x v="818"/>
    <n v="1135"/>
    <x v="1"/>
    <x v="6"/>
    <x v="1"/>
    <s v="No"/>
    <s v="Y"/>
    <n v="4"/>
    <n v="-2"/>
    <n v="0"/>
    <x v="12"/>
    <x v="1"/>
    <x v="1"/>
    <n v="0"/>
    <n v="1"/>
    <n v="793"/>
    <n v="20"/>
    <x v="3"/>
    <x v="0"/>
    <n v="3"/>
    <n v="67"/>
    <n v="4"/>
    <n v="1"/>
    <n v="1"/>
    <x v="773"/>
    <n v="21981"/>
    <n v="0"/>
    <n v="12"/>
    <n v="3"/>
    <n v="1"/>
    <n v="80"/>
    <n v="1"/>
    <n v="3"/>
    <n v="3"/>
    <n v="2"/>
    <n v="2"/>
    <n v="2"/>
    <n v="2"/>
  </r>
  <r>
    <x v="1"/>
    <s v="Travel_Rarely"/>
    <x v="2"/>
    <s v="Current Employees"/>
    <x v="1"/>
    <x v="0"/>
    <x v="819"/>
    <n v="1136"/>
    <x v="1"/>
    <x v="1"/>
    <x v="1"/>
    <s v="No"/>
    <s v="Y"/>
    <n v="2"/>
    <n v="-2"/>
    <n v="0"/>
    <x v="14"/>
    <x v="1"/>
    <x v="1"/>
    <n v="0"/>
    <n v="1"/>
    <n v="1451"/>
    <n v="2"/>
    <x v="1"/>
    <x v="0"/>
    <n v="1"/>
    <n v="67"/>
    <n v="2"/>
    <n v="1"/>
    <n v="1"/>
    <x v="774"/>
    <n v="19911"/>
    <n v="0"/>
    <n v="17"/>
    <n v="3"/>
    <n v="1"/>
    <n v="80"/>
    <n v="0"/>
    <n v="6"/>
    <n v="1"/>
    <n v="5"/>
    <n v="3"/>
    <n v="0"/>
    <n v="4"/>
  </r>
  <r>
    <x v="1"/>
    <s v="Travel_Frequently"/>
    <x v="0"/>
    <s v="Current Employees"/>
    <x v="0"/>
    <x v="3"/>
    <x v="820"/>
    <n v="1137"/>
    <x v="1"/>
    <x v="0"/>
    <x v="2"/>
    <s v="No"/>
    <s v="Y"/>
    <n v="3"/>
    <n v="-2"/>
    <n v="0"/>
    <x v="10"/>
    <x v="1"/>
    <x v="1"/>
    <n v="0"/>
    <n v="1"/>
    <n v="1182"/>
    <n v="11"/>
    <x v="0"/>
    <x v="0"/>
    <n v="4"/>
    <n v="54"/>
    <n v="3"/>
    <n v="2"/>
    <n v="2"/>
    <x v="775"/>
    <n v="18500"/>
    <n v="1"/>
    <n v="11"/>
    <n v="3"/>
    <n v="4"/>
    <n v="80"/>
    <n v="1"/>
    <n v="5"/>
    <n v="3"/>
    <n v="5"/>
    <n v="2"/>
    <n v="0"/>
    <n v="2"/>
  </r>
  <r>
    <x v="1"/>
    <s v="Travel_Rarely"/>
    <x v="1"/>
    <s v="Current Employees"/>
    <x v="0"/>
    <x v="4"/>
    <x v="821"/>
    <n v="1138"/>
    <x v="1"/>
    <x v="0"/>
    <x v="1"/>
    <s v="No"/>
    <s v="Y"/>
    <n v="3"/>
    <n v="-2"/>
    <n v="0"/>
    <x v="1"/>
    <x v="1"/>
    <x v="1"/>
    <n v="0"/>
    <n v="1"/>
    <n v="174"/>
    <n v="8"/>
    <x v="2"/>
    <x v="0"/>
    <n v="4"/>
    <n v="56"/>
    <n v="2"/>
    <n v="4"/>
    <n v="4"/>
    <x v="776"/>
    <n v="11879"/>
    <n v="6"/>
    <n v="17"/>
    <n v="3"/>
    <n v="2"/>
    <n v="80"/>
    <n v="1"/>
    <n v="22"/>
    <n v="3"/>
    <n v="9"/>
    <n v="8"/>
    <n v="2"/>
    <n v="3"/>
  </r>
  <r>
    <x v="1"/>
    <s v="Travel_Frequently"/>
    <x v="2"/>
    <s v="Current Employees"/>
    <x v="1"/>
    <x v="0"/>
    <x v="822"/>
    <n v="1140"/>
    <x v="1"/>
    <x v="3"/>
    <x v="0"/>
    <s v="No"/>
    <s v="Y"/>
    <n v="3"/>
    <n v="-2"/>
    <n v="0"/>
    <x v="13"/>
    <x v="1"/>
    <x v="1"/>
    <n v="0"/>
    <n v="1"/>
    <n v="1003"/>
    <n v="2"/>
    <x v="0"/>
    <x v="0"/>
    <n v="4"/>
    <n v="95"/>
    <n v="3"/>
    <n v="2"/>
    <n v="1"/>
    <x v="777"/>
    <n v="15834"/>
    <n v="2"/>
    <n v="11"/>
    <n v="3"/>
    <n v="4"/>
    <n v="80"/>
    <n v="0"/>
    <n v="5"/>
    <n v="2"/>
    <n v="3"/>
    <n v="2"/>
    <n v="0"/>
    <n v="2"/>
  </r>
  <r>
    <x v="1"/>
    <s v="Travel_Frequently"/>
    <x v="2"/>
    <s v="Current Employees"/>
    <x v="1"/>
    <x v="0"/>
    <x v="823"/>
    <n v="1143"/>
    <x v="0"/>
    <x v="1"/>
    <x v="2"/>
    <s v="No"/>
    <s v="Y"/>
    <n v="2"/>
    <n v="-2"/>
    <n v="0"/>
    <x v="11"/>
    <x v="1"/>
    <x v="1"/>
    <n v="0"/>
    <n v="1"/>
    <n v="490"/>
    <n v="10"/>
    <x v="3"/>
    <x v="0"/>
    <n v="4"/>
    <n v="61"/>
    <n v="3"/>
    <n v="1"/>
    <n v="1"/>
    <x v="778"/>
    <n v="17940"/>
    <n v="0"/>
    <n v="14"/>
    <n v="3"/>
    <n v="4"/>
    <n v="80"/>
    <n v="2"/>
    <n v="8"/>
    <n v="2"/>
    <n v="7"/>
    <n v="5"/>
    <n v="1"/>
    <n v="1"/>
  </r>
  <r>
    <x v="1"/>
    <s v="Travel_Rarely"/>
    <x v="0"/>
    <s v="Current Employees"/>
    <x v="1"/>
    <x v="2"/>
    <x v="824"/>
    <n v="1148"/>
    <x v="1"/>
    <x v="2"/>
    <x v="0"/>
    <s v="No"/>
    <s v="Y"/>
    <n v="3"/>
    <n v="-2"/>
    <n v="0"/>
    <x v="19"/>
    <x v="1"/>
    <x v="1"/>
    <n v="0"/>
    <n v="1"/>
    <n v="188"/>
    <n v="29"/>
    <x v="3"/>
    <x v="0"/>
    <n v="2"/>
    <n v="56"/>
    <n v="1"/>
    <n v="2"/>
    <n v="4"/>
    <x v="779"/>
    <n v="9558"/>
    <n v="4"/>
    <n v="19"/>
    <n v="3"/>
    <n v="1"/>
    <n v="80"/>
    <n v="0"/>
    <n v="16"/>
    <n v="3"/>
    <n v="1"/>
    <n v="0"/>
    <n v="0"/>
    <n v="0"/>
  </r>
  <r>
    <x v="1"/>
    <s v="Travel_Rarely"/>
    <x v="2"/>
    <s v="Current Employees"/>
    <x v="1"/>
    <x v="2"/>
    <x v="825"/>
    <n v="1150"/>
    <x v="1"/>
    <x v="3"/>
    <x v="1"/>
    <s v="Yes"/>
    <s v="Y"/>
    <n v="2"/>
    <n v="-2"/>
    <n v="0"/>
    <x v="11"/>
    <x v="1"/>
    <x v="1"/>
    <n v="0"/>
    <n v="1"/>
    <n v="718"/>
    <n v="8"/>
    <x v="1"/>
    <x v="0"/>
    <n v="2"/>
    <n v="79"/>
    <n v="2"/>
    <n v="2"/>
    <n v="4"/>
    <x v="780"/>
    <n v="17689"/>
    <n v="1"/>
    <n v="15"/>
    <n v="3"/>
    <n v="3"/>
    <n v="80"/>
    <n v="1"/>
    <n v="10"/>
    <n v="2"/>
    <n v="10"/>
    <n v="7"/>
    <n v="1"/>
    <n v="2"/>
  </r>
  <r>
    <x v="1"/>
    <s v="Travel_Rarely"/>
    <x v="0"/>
    <s v="Current Employees"/>
    <x v="2"/>
    <x v="5"/>
    <x v="826"/>
    <n v="1152"/>
    <x v="1"/>
    <x v="8"/>
    <x v="1"/>
    <s v="No"/>
    <s v="Y"/>
    <n v="2"/>
    <n v="-2"/>
    <n v="0"/>
    <x v="8"/>
    <x v="1"/>
    <x v="1"/>
    <n v="0"/>
    <n v="1"/>
    <n v="433"/>
    <n v="1"/>
    <x v="3"/>
    <x v="0"/>
    <n v="3"/>
    <n v="37"/>
    <n v="4"/>
    <n v="1"/>
    <n v="3"/>
    <x v="781"/>
    <n v="6004"/>
    <n v="1"/>
    <n v="13"/>
    <n v="3"/>
    <n v="4"/>
    <n v="80"/>
    <n v="1"/>
    <n v="7"/>
    <n v="4"/>
    <n v="7"/>
    <n v="6"/>
    <n v="5"/>
    <n v="0"/>
  </r>
  <r>
    <x v="1"/>
    <s v="Travel_Frequently"/>
    <x v="2"/>
    <s v="Current Employees"/>
    <x v="1"/>
    <x v="0"/>
    <x v="827"/>
    <n v="1154"/>
    <x v="1"/>
    <x v="1"/>
    <x v="2"/>
    <s v="Yes"/>
    <s v="Y"/>
    <n v="2"/>
    <n v="-2"/>
    <n v="0"/>
    <x v="14"/>
    <x v="1"/>
    <x v="1"/>
    <n v="0"/>
    <n v="1"/>
    <n v="773"/>
    <n v="6"/>
    <x v="3"/>
    <x v="0"/>
    <n v="3"/>
    <n v="39"/>
    <n v="2"/>
    <n v="1"/>
    <n v="1"/>
    <x v="68"/>
    <n v="22088"/>
    <n v="1"/>
    <n v="14"/>
    <n v="3"/>
    <n v="4"/>
    <n v="80"/>
    <n v="1"/>
    <n v="3"/>
    <n v="3"/>
    <n v="3"/>
    <n v="1"/>
    <n v="0"/>
    <n v="2"/>
  </r>
  <r>
    <x v="0"/>
    <s v="Non-Travel"/>
    <x v="4"/>
    <s v="Ex-Employees"/>
    <x v="1"/>
    <x v="2"/>
    <x v="828"/>
    <n v="1156"/>
    <x v="1"/>
    <x v="2"/>
    <x v="0"/>
    <s v="No"/>
    <s v="Y"/>
    <n v="0"/>
    <n v="-2"/>
    <n v="0"/>
    <x v="41"/>
    <x v="0"/>
    <x v="0"/>
    <n v="1"/>
    <n v="0"/>
    <n v="247"/>
    <n v="8"/>
    <x v="1"/>
    <x v="0"/>
    <n v="3"/>
    <n v="80"/>
    <n v="3"/>
    <n v="1"/>
    <n v="3"/>
    <x v="782"/>
    <n v="13556"/>
    <n v="1"/>
    <n v="12"/>
    <n v="3"/>
    <n v="4"/>
    <n v="80"/>
    <n v="0"/>
    <n v="0"/>
    <n v="3"/>
    <n v="0"/>
    <n v="0"/>
    <n v="0"/>
    <n v="0"/>
  </r>
  <r>
    <x v="0"/>
    <s v="Travel_Rarely"/>
    <x v="2"/>
    <s v="Ex-Employees"/>
    <x v="0"/>
    <x v="3"/>
    <x v="829"/>
    <n v="1157"/>
    <x v="0"/>
    <x v="0"/>
    <x v="0"/>
    <s v="Yes"/>
    <s v="Y"/>
    <n v="3"/>
    <n v="-2"/>
    <n v="0"/>
    <x v="3"/>
    <x v="0"/>
    <x v="0"/>
    <n v="1"/>
    <n v="0"/>
    <n v="603"/>
    <n v="9"/>
    <x v="2"/>
    <x v="0"/>
    <n v="1"/>
    <n v="77"/>
    <n v="3"/>
    <n v="2"/>
    <n v="2"/>
    <x v="783"/>
    <n v="18385"/>
    <n v="0"/>
    <n v="17"/>
    <n v="3"/>
    <n v="1"/>
    <n v="80"/>
    <n v="0"/>
    <n v="6"/>
    <n v="3"/>
    <n v="5"/>
    <n v="2"/>
    <n v="0"/>
    <n v="3"/>
  </r>
  <r>
    <x v="1"/>
    <s v="Travel_Rarely"/>
    <x v="0"/>
    <s v="Current Employees"/>
    <x v="1"/>
    <x v="0"/>
    <x v="830"/>
    <n v="1158"/>
    <x v="1"/>
    <x v="2"/>
    <x v="1"/>
    <s v="Yes"/>
    <s v="Y"/>
    <n v="4"/>
    <n v="-2"/>
    <n v="0"/>
    <x v="0"/>
    <x v="1"/>
    <x v="1"/>
    <n v="0"/>
    <n v="1"/>
    <n v="167"/>
    <n v="12"/>
    <x v="2"/>
    <x v="0"/>
    <n v="2"/>
    <n v="46"/>
    <n v="3"/>
    <n v="1"/>
    <n v="1"/>
    <x v="784"/>
    <n v="9051"/>
    <n v="3"/>
    <n v="11"/>
    <n v="3"/>
    <n v="1"/>
    <n v="80"/>
    <n v="1"/>
    <n v="6"/>
    <n v="3"/>
    <n v="1"/>
    <n v="0"/>
    <n v="0"/>
    <n v="0"/>
  </r>
  <r>
    <x v="0"/>
    <s v="Travel_Frequently"/>
    <x v="2"/>
    <s v="Ex-Employees"/>
    <x v="1"/>
    <x v="2"/>
    <x v="831"/>
    <n v="1160"/>
    <x v="1"/>
    <x v="2"/>
    <x v="1"/>
    <s v="No"/>
    <s v="Y"/>
    <n v="5"/>
    <n v="-2"/>
    <n v="0"/>
    <x v="12"/>
    <x v="0"/>
    <x v="0"/>
    <n v="1"/>
    <n v="0"/>
    <n v="874"/>
    <n v="15"/>
    <x v="3"/>
    <x v="0"/>
    <n v="3"/>
    <n v="72"/>
    <n v="3"/>
    <n v="1"/>
    <n v="3"/>
    <x v="353"/>
    <n v="6233"/>
    <n v="1"/>
    <n v="12"/>
    <n v="3"/>
    <n v="3"/>
    <n v="80"/>
    <n v="1"/>
    <n v="2"/>
    <n v="2"/>
    <n v="2"/>
    <n v="2"/>
    <n v="2"/>
    <n v="2"/>
  </r>
  <r>
    <x v="1"/>
    <s v="Travel_Rarely"/>
    <x v="0"/>
    <s v="Current Employees"/>
    <x v="1"/>
    <x v="2"/>
    <x v="832"/>
    <n v="1161"/>
    <x v="0"/>
    <x v="4"/>
    <x v="2"/>
    <s v="No"/>
    <s v="Y"/>
    <n v="2"/>
    <n v="-2"/>
    <n v="0"/>
    <x v="2"/>
    <x v="1"/>
    <x v="1"/>
    <n v="0"/>
    <n v="1"/>
    <n v="367"/>
    <n v="25"/>
    <x v="0"/>
    <x v="0"/>
    <n v="3"/>
    <n v="52"/>
    <n v="2"/>
    <n v="2"/>
    <n v="4"/>
    <x v="785"/>
    <n v="17171"/>
    <n v="7"/>
    <n v="13"/>
    <n v="3"/>
    <n v="3"/>
    <n v="80"/>
    <n v="2"/>
    <n v="9"/>
    <n v="3"/>
    <n v="6"/>
    <n v="2"/>
    <n v="1"/>
    <n v="3"/>
  </r>
  <r>
    <x v="1"/>
    <s v="Travel_Rarely"/>
    <x v="2"/>
    <s v="Current Employees"/>
    <x v="1"/>
    <x v="0"/>
    <x v="833"/>
    <n v="1162"/>
    <x v="1"/>
    <x v="1"/>
    <x v="1"/>
    <s v="No"/>
    <s v="Y"/>
    <n v="0"/>
    <n v="-2"/>
    <n v="0"/>
    <x v="4"/>
    <x v="1"/>
    <x v="1"/>
    <n v="0"/>
    <n v="1"/>
    <n v="199"/>
    <n v="6"/>
    <x v="3"/>
    <x v="0"/>
    <n v="4"/>
    <n v="55"/>
    <n v="2"/>
    <n v="1"/>
    <n v="1"/>
    <x v="786"/>
    <n v="7950"/>
    <n v="1"/>
    <n v="13"/>
    <n v="3"/>
    <n v="3"/>
    <n v="80"/>
    <n v="1"/>
    <n v="4"/>
    <n v="3"/>
    <n v="4"/>
    <n v="2"/>
    <n v="2"/>
    <n v="2"/>
  </r>
  <r>
    <x v="1"/>
    <s v="Travel_Rarely"/>
    <x v="2"/>
    <s v="Current Employees"/>
    <x v="0"/>
    <x v="0"/>
    <x v="834"/>
    <n v="1163"/>
    <x v="0"/>
    <x v="0"/>
    <x v="1"/>
    <s v="No"/>
    <s v="Y"/>
    <n v="3"/>
    <n v="-2"/>
    <n v="0"/>
    <x v="13"/>
    <x v="1"/>
    <x v="1"/>
    <n v="0"/>
    <n v="1"/>
    <n v="1400"/>
    <n v="9"/>
    <x v="1"/>
    <x v="0"/>
    <n v="2"/>
    <n v="70"/>
    <n v="3"/>
    <n v="2"/>
    <n v="1"/>
    <x v="787"/>
    <n v="5829"/>
    <n v="1"/>
    <n v="20"/>
    <n v="4"/>
    <n v="1"/>
    <n v="80"/>
    <n v="0"/>
    <n v="6"/>
    <n v="2"/>
    <n v="6"/>
    <n v="5"/>
    <n v="1"/>
    <n v="3"/>
  </r>
  <r>
    <x v="1"/>
    <s v="Travel_Rarely"/>
    <x v="0"/>
    <s v="Current Employees"/>
    <x v="2"/>
    <x v="4"/>
    <x v="835"/>
    <n v="1164"/>
    <x v="1"/>
    <x v="8"/>
    <x v="0"/>
    <s v="No"/>
    <s v="Y"/>
    <n v="2"/>
    <n v="-2"/>
    <n v="0"/>
    <x v="10"/>
    <x v="1"/>
    <x v="1"/>
    <n v="0"/>
    <n v="1"/>
    <n v="528"/>
    <n v="8"/>
    <x v="2"/>
    <x v="0"/>
    <n v="4"/>
    <n v="100"/>
    <n v="3"/>
    <n v="1"/>
    <n v="4"/>
    <x v="788"/>
    <n v="7108"/>
    <n v="1"/>
    <n v="17"/>
    <n v="3"/>
    <n v="2"/>
    <n v="80"/>
    <n v="0"/>
    <n v="6"/>
    <n v="1"/>
    <n v="5"/>
    <n v="4"/>
    <n v="1"/>
    <n v="4"/>
  </r>
  <r>
    <x v="0"/>
    <s v="Travel_Rarely"/>
    <x v="2"/>
    <s v="Ex-Employees"/>
    <x v="0"/>
    <x v="0"/>
    <x v="836"/>
    <n v="1165"/>
    <x v="0"/>
    <x v="0"/>
    <x v="1"/>
    <s v="No"/>
    <s v="Y"/>
    <n v="3"/>
    <n v="-2"/>
    <n v="0"/>
    <x v="11"/>
    <x v="0"/>
    <x v="0"/>
    <n v="1"/>
    <n v="0"/>
    <n v="408"/>
    <n v="23"/>
    <x v="1"/>
    <x v="0"/>
    <n v="4"/>
    <n v="45"/>
    <n v="2"/>
    <n v="3"/>
    <n v="1"/>
    <x v="789"/>
    <n v="11162"/>
    <n v="1"/>
    <n v="13"/>
    <n v="3"/>
    <n v="1"/>
    <n v="80"/>
    <n v="1"/>
    <n v="11"/>
    <n v="1"/>
    <n v="11"/>
    <n v="8"/>
    <n v="3"/>
    <n v="10"/>
  </r>
  <r>
    <x v="1"/>
    <s v="Travel_Frequently"/>
    <x v="0"/>
    <s v="Current Employees"/>
    <x v="1"/>
    <x v="2"/>
    <x v="837"/>
    <n v="1166"/>
    <x v="0"/>
    <x v="7"/>
    <x v="0"/>
    <s v="No"/>
    <s v="Y"/>
    <n v="3"/>
    <n v="-2"/>
    <n v="0"/>
    <x v="32"/>
    <x v="1"/>
    <x v="1"/>
    <n v="0"/>
    <n v="1"/>
    <n v="593"/>
    <n v="9"/>
    <x v="2"/>
    <x v="0"/>
    <n v="2"/>
    <n v="88"/>
    <n v="3"/>
    <n v="3"/>
    <n v="3"/>
    <x v="790"/>
    <n v="13782"/>
    <n v="9"/>
    <n v="17"/>
    <n v="3"/>
    <n v="3"/>
    <n v="80"/>
    <n v="0"/>
    <n v="20"/>
    <n v="2"/>
    <n v="18"/>
    <n v="7"/>
    <n v="2"/>
    <n v="13"/>
  </r>
  <r>
    <x v="0"/>
    <s v="Travel_Frequently"/>
    <x v="0"/>
    <s v="Ex-Employees"/>
    <x v="0"/>
    <x v="0"/>
    <x v="838"/>
    <n v="1167"/>
    <x v="1"/>
    <x v="0"/>
    <x v="0"/>
    <s v="Yes"/>
    <s v="Y"/>
    <n v="2"/>
    <n v="-2"/>
    <n v="0"/>
    <x v="19"/>
    <x v="0"/>
    <x v="0"/>
    <n v="1"/>
    <n v="0"/>
    <n v="481"/>
    <n v="12"/>
    <x v="3"/>
    <x v="0"/>
    <n v="3"/>
    <n v="44"/>
    <n v="3"/>
    <n v="4"/>
    <n v="1"/>
    <x v="791"/>
    <n v="2447"/>
    <n v="0"/>
    <n v="12"/>
    <n v="3"/>
    <n v="2"/>
    <n v="80"/>
    <n v="0"/>
    <n v="22"/>
    <n v="2"/>
    <n v="21"/>
    <n v="9"/>
    <n v="13"/>
    <n v="14"/>
  </r>
  <r>
    <x v="1"/>
    <s v="Travel_Rarely"/>
    <x v="0"/>
    <s v="Current Employees"/>
    <x v="0"/>
    <x v="3"/>
    <x v="839"/>
    <n v="1171"/>
    <x v="1"/>
    <x v="0"/>
    <x v="0"/>
    <s v="No"/>
    <s v="Y"/>
    <n v="3"/>
    <n v="-2"/>
    <n v="0"/>
    <x v="19"/>
    <x v="1"/>
    <x v="1"/>
    <n v="0"/>
    <n v="1"/>
    <n v="647"/>
    <n v="4"/>
    <x v="2"/>
    <x v="0"/>
    <n v="2"/>
    <n v="45"/>
    <n v="3"/>
    <n v="2"/>
    <n v="2"/>
    <x v="792"/>
    <n v="2253"/>
    <n v="7"/>
    <n v="13"/>
    <n v="3"/>
    <n v="4"/>
    <n v="80"/>
    <n v="0"/>
    <n v="9"/>
    <n v="4"/>
    <n v="6"/>
    <n v="4"/>
    <n v="1"/>
    <n v="5"/>
  </r>
  <r>
    <x v="1"/>
    <s v="Travel_Rarely"/>
    <x v="0"/>
    <s v="Current Employees"/>
    <x v="1"/>
    <x v="2"/>
    <x v="840"/>
    <n v="1172"/>
    <x v="1"/>
    <x v="2"/>
    <x v="1"/>
    <s v="No"/>
    <s v="Y"/>
    <n v="2"/>
    <n v="-2"/>
    <n v="0"/>
    <x v="10"/>
    <x v="1"/>
    <x v="1"/>
    <n v="0"/>
    <n v="1"/>
    <n v="982"/>
    <n v="1"/>
    <x v="2"/>
    <x v="0"/>
    <n v="4"/>
    <n v="58"/>
    <n v="2"/>
    <n v="1"/>
    <n v="3"/>
    <x v="384"/>
    <n v="16340"/>
    <n v="6"/>
    <n v="12"/>
    <n v="3"/>
    <n v="2"/>
    <n v="80"/>
    <n v="1"/>
    <n v="10"/>
    <n v="3"/>
    <n v="8"/>
    <n v="0"/>
    <n v="1"/>
    <n v="7"/>
  </r>
  <r>
    <x v="1"/>
    <s v="Travel_Rarely"/>
    <x v="4"/>
    <s v="Current Employees"/>
    <x v="1"/>
    <x v="2"/>
    <x v="841"/>
    <n v="1173"/>
    <x v="1"/>
    <x v="2"/>
    <x v="0"/>
    <s v="No"/>
    <s v="Y"/>
    <n v="2"/>
    <n v="-2"/>
    <n v="0"/>
    <x v="17"/>
    <x v="1"/>
    <x v="1"/>
    <n v="0"/>
    <n v="1"/>
    <n v="477"/>
    <n v="24"/>
    <x v="3"/>
    <x v="0"/>
    <n v="4"/>
    <n v="49"/>
    <n v="3"/>
    <n v="1"/>
    <n v="2"/>
    <x v="793"/>
    <n v="6409"/>
    <n v="8"/>
    <n v="22"/>
    <n v="4"/>
    <n v="4"/>
    <n v="80"/>
    <n v="0"/>
    <n v="6"/>
    <n v="3"/>
    <n v="4"/>
    <n v="3"/>
    <n v="1"/>
    <n v="2"/>
  </r>
  <r>
    <x v="0"/>
    <s v="Travel_Rarely"/>
    <x v="2"/>
    <s v="Ex-Employees"/>
    <x v="1"/>
    <x v="0"/>
    <x v="842"/>
    <n v="1175"/>
    <x v="0"/>
    <x v="2"/>
    <x v="1"/>
    <s v="Yes"/>
    <s v="Y"/>
    <n v="4"/>
    <n v="-2"/>
    <n v="0"/>
    <x v="14"/>
    <x v="0"/>
    <x v="0"/>
    <n v="1"/>
    <n v="0"/>
    <n v="1485"/>
    <n v="12"/>
    <x v="1"/>
    <x v="0"/>
    <n v="3"/>
    <n v="79"/>
    <n v="3"/>
    <n v="1"/>
    <n v="1"/>
    <x v="605"/>
    <n v="22955"/>
    <n v="1"/>
    <n v="11"/>
    <n v="3"/>
    <n v="4"/>
    <n v="80"/>
    <n v="0"/>
    <n v="1"/>
    <n v="2"/>
    <n v="1"/>
    <n v="1"/>
    <n v="0"/>
    <n v="0"/>
  </r>
  <r>
    <x v="1"/>
    <s v="Travel_Rarely"/>
    <x v="2"/>
    <s v="Current Employees"/>
    <x v="1"/>
    <x v="2"/>
    <x v="843"/>
    <n v="1177"/>
    <x v="1"/>
    <x v="2"/>
    <x v="1"/>
    <s v="No"/>
    <s v="Y"/>
    <n v="2"/>
    <n v="-2"/>
    <n v="0"/>
    <x v="25"/>
    <x v="1"/>
    <x v="1"/>
    <n v="0"/>
    <n v="1"/>
    <n v="1384"/>
    <n v="3"/>
    <x v="2"/>
    <x v="0"/>
    <n v="1"/>
    <n v="82"/>
    <n v="4"/>
    <n v="1"/>
    <n v="4"/>
    <x v="794"/>
    <n v="13421"/>
    <n v="1"/>
    <n v="22"/>
    <n v="4"/>
    <n v="2"/>
    <n v="80"/>
    <n v="1"/>
    <n v="8"/>
    <n v="3"/>
    <n v="8"/>
    <n v="7"/>
    <n v="0"/>
    <n v="7"/>
  </r>
  <r>
    <x v="1"/>
    <s v="Travel_Rarely"/>
    <x v="2"/>
    <s v="Current Employees"/>
    <x v="0"/>
    <x v="3"/>
    <x v="844"/>
    <n v="1179"/>
    <x v="1"/>
    <x v="0"/>
    <x v="1"/>
    <s v="No"/>
    <s v="Y"/>
    <n v="3"/>
    <n v="-2"/>
    <n v="0"/>
    <x v="7"/>
    <x v="1"/>
    <x v="1"/>
    <n v="0"/>
    <n v="1"/>
    <n v="852"/>
    <n v="10"/>
    <x v="3"/>
    <x v="0"/>
    <n v="3"/>
    <n v="72"/>
    <n v="2"/>
    <n v="2"/>
    <n v="2"/>
    <x v="795"/>
    <n v="2706"/>
    <n v="1"/>
    <n v="18"/>
    <n v="3"/>
    <n v="1"/>
    <n v="80"/>
    <n v="1"/>
    <n v="10"/>
    <n v="3"/>
    <n v="10"/>
    <n v="3"/>
    <n v="1"/>
    <n v="4"/>
  </r>
  <r>
    <x v="1"/>
    <s v="Travel_Frequently"/>
    <x v="0"/>
    <s v="Current Employees"/>
    <x v="1"/>
    <x v="2"/>
    <x v="845"/>
    <n v="1180"/>
    <x v="0"/>
    <x v="1"/>
    <x v="1"/>
    <s v="Yes"/>
    <s v="Y"/>
    <n v="3"/>
    <n v="-2"/>
    <n v="0"/>
    <x v="32"/>
    <x v="1"/>
    <x v="1"/>
    <n v="0"/>
    <n v="1"/>
    <n v="902"/>
    <n v="26"/>
    <x v="0"/>
    <x v="0"/>
    <n v="3"/>
    <n v="92"/>
    <n v="2"/>
    <n v="2"/>
    <n v="4"/>
    <x v="796"/>
    <n v="21203"/>
    <n v="3"/>
    <n v="13"/>
    <n v="3"/>
    <n v="4"/>
    <n v="80"/>
    <n v="1"/>
    <n v="16"/>
    <n v="1"/>
    <n v="1"/>
    <n v="1"/>
    <n v="0"/>
    <n v="0"/>
  </r>
  <r>
    <x v="1"/>
    <s v="Travel_Rarely"/>
    <x v="0"/>
    <s v="Current Employees"/>
    <x v="1"/>
    <x v="0"/>
    <x v="846"/>
    <n v="1182"/>
    <x v="1"/>
    <x v="3"/>
    <x v="2"/>
    <s v="No"/>
    <s v="Y"/>
    <n v="2"/>
    <n v="-2"/>
    <n v="0"/>
    <x v="10"/>
    <x v="1"/>
    <x v="1"/>
    <n v="0"/>
    <n v="1"/>
    <n v="819"/>
    <n v="2"/>
    <x v="3"/>
    <x v="0"/>
    <n v="3"/>
    <n v="44"/>
    <n v="2"/>
    <n v="3"/>
    <n v="1"/>
    <x v="797"/>
    <n v="19588"/>
    <n v="2"/>
    <n v="18"/>
    <n v="3"/>
    <n v="2"/>
    <n v="80"/>
    <n v="1"/>
    <n v="15"/>
    <n v="4"/>
    <n v="7"/>
    <n v="7"/>
    <n v="6"/>
    <n v="4"/>
  </r>
  <r>
    <x v="1"/>
    <s v="Travel_Frequently"/>
    <x v="2"/>
    <s v="Current Employees"/>
    <x v="1"/>
    <x v="2"/>
    <x v="847"/>
    <n v="1184"/>
    <x v="1"/>
    <x v="4"/>
    <x v="0"/>
    <s v="No"/>
    <s v="Y"/>
    <n v="3"/>
    <n v="-2"/>
    <n v="0"/>
    <x v="13"/>
    <x v="1"/>
    <x v="1"/>
    <n v="0"/>
    <n v="1"/>
    <n v="669"/>
    <n v="1"/>
    <x v="3"/>
    <x v="0"/>
    <n v="4"/>
    <n v="97"/>
    <n v="2"/>
    <n v="2"/>
    <n v="3"/>
    <x v="798"/>
    <n v="25755"/>
    <n v="0"/>
    <n v="20"/>
    <n v="4"/>
    <n v="3"/>
    <n v="80"/>
    <n v="0"/>
    <n v="14"/>
    <n v="3"/>
    <n v="13"/>
    <n v="9"/>
    <n v="4"/>
    <n v="9"/>
  </r>
  <r>
    <x v="1"/>
    <s v="Travel_Frequently"/>
    <x v="0"/>
    <s v="Current Employees"/>
    <x v="1"/>
    <x v="1"/>
    <x v="848"/>
    <n v="1185"/>
    <x v="1"/>
    <x v="2"/>
    <x v="1"/>
    <s v="No"/>
    <s v="Y"/>
    <n v="2"/>
    <n v="-2"/>
    <n v="0"/>
    <x v="10"/>
    <x v="1"/>
    <x v="1"/>
    <n v="0"/>
    <n v="1"/>
    <n v="636"/>
    <n v="4"/>
    <x v="2"/>
    <x v="0"/>
    <n v="4"/>
    <n v="47"/>
    <n v="2"/>
    <n v="1"/>
    <n v="4"/>
    <x v="799"/>
    <n v="26537"/>
    <n v="1"/>
    <n v="13"/>
    <n v="3"/>
    <n v="2"/>
    <n v="80"/>
    <n v="1"/>
    <n v="2"/>
    <n v="4"/>
    <n v="2"/>
    <n v="2"/>
    <n v="2"/>
    <n v="2"/>
  </r>
  <r>
    <x v="0"/>
    <s v="Travel_Rarely"/>
    <x v="0"/>
    <s v="Ex-Employees"/>
    <x v="0"/>
    <x v="3"/>
    <x v="849"/>
    <n v="1188"/>
    <x v="0"/>
    <x v="0"/>
    <x v="0"/>
    <s v="No"/>
    <s v="Y"/>
    <n v="2"/>
    <n v="-2"/>
    <n v="0"/>
    <x v="23"/>
    <x v="0"/>
    <x v="0"/>
    <n v="1"/>
    <n v="0"/>
    <n v="1372"/>
    <n v="9"/>
    <x v="3"/>
    <x v="0"/>
    <n v="1"/>
    <n v="85"/>
    <n v="1"/>
    <n v="2"/>
    <n v="2"/>
    <x v="800"/>
    <n v="9489"/>
    <n v="8"/>
    <n v="13"/>
    <n v="3"/>
    <n v="2"/>
    <n v="80"/>
    <n v="0"/>
    <n v="7"/>
    <n v="2"/>
    <n v="4"/>
    <n v="3"/>
    <n v="1"/>
    <n v="3"/>
  </r>
  <r>
    <x v="1"/>
    <s v="Non-Travel"/>
    <x v="2"/>
    <s v="Current Employees"/>
    <x v="0"/>
    <x v="0"/>
    <x v="850"/>
    <n v="1190"/>
    <x v="0"/>
    <x v="6"/>
    <x v="2"/>
    <s v="No"/>
    <s v="Y"/>
    <n v="3"/>
    <n v="-2"/>
    <n v="0"/>
    <x v="5"/>
    <x v="1"/>
    <x v="1"/>
    <n v="0"/>
    <n v="1"/>
    <n v="862"/>
    <n v="2"/>
    <x v="1"/>
    <x v="0"/>
    <n v="3"/>
    <n v="76"/>
    <n v="3"/>
    <n v="1"/>
    <n v="1"/>
    <x v="801"/>
    <n v="14947"/>
    <n v="1"/>
    <n v="12"/>
    <n v="3"/>
    <n v="3"/>
    <n v="80"/>
    <n v="3"/>
    <n v="1"/>
    <n v="3"/>
    <n v="1"/>
    <n v="0"/>
    <n v="0"/>
    <n v="0"/>
  </r>
  <r>
    <x v="1"/>
    <s v="Travel_Rarely"/>
    <x v="3"/>
    <s v="Current Employees"/>
    <x v="1"/>
    <x v="4"/>
    <x v="851"/>
    <n v="1191"/>
    <x v="0"/>
    <x v="5"/>
    <x v="2"/>
    <s v="No"/>
    <s v="Y"/>
    <n v="2"/>
    <n v="-2"/>
    <n v="0"/>
    <x v="29"/>
    <x v="1"/>
    <x v="1"/>
    <n v="0"/>
    <n v="1"/>
    <n v="718"/>
    <n v="4"/>
    <x v="2"/>
    <x v="0"/>
    <n v="4"/>
    <n v="92"/>
    <n v="3"/>
    <n v="5"/>
    <n v="4"/>
    <x v="802"/>
    <n v="18575"/>
    <n v="4"/>
    <n v="13"/>
    <n v="3"/>
    <n v="4"/>
    <n v="80"/>
    <n v="1"/>
    <n v="28"/>
    <n v="3"/>
    <n v="5"/>
    <n v="2"/>
    <n v="4"/>
    <n v="2"/>
  </r>
  <r>
    <x v="1"/>
    <s v="Travel_Rarely"/>
    <x v="2"/>
    <s v="Current Employees"/>
    <x v="1"/>
    <x v="2"/>
    <x v="852"/>
    <n v="1192"/>
    <x v="0"/>
    <x v="2"/>
    <x v="1"/>
    <s v="No"/>
    <s v="Y"/>
    <n v="5"/>
    <n v="-2"/>
    <n v="0"/>
    <x v="11"/>
    <x v="1"/>
    <x v="1"/>
    <n v="0"/>
    <n v="1"/>
    <n v="1401"/>
    <n v="6"/>
    <x v="1"/>
    <x v="0"/>
    <n v="2"/>
    <n v="54"/>
    <n v="3"/>
    <n v="1"/>
    <n v="4"/>
    <x v="803"/>
    <n v="26342"/>
    <n v="1"/>
    <n v="13"/>
    <n v="3"/>
    <n v="1"/>
    <n v="80"/>
    <n v="1"/>
    <n v="10"/>
    <n v="3"/>
    <n v="10"/>
    <n v="8"/>
    <n v="0"/>
    <n v="8"/>
  </r>
  <r>
    <x v="1"/>
    <s v="Travel_Rarely"/>
    <x v="4"/>
    <s v="Current Employees"/>
    <x v="1"/>
    <x v="0"/>
    <x v="853"/>
    <n v="1193"/>
    <x v="1"/>
    <x v="1"/>
    <x v="0"/>
    <s v="No"/>
    <s v="Y"/>
    <n v="4"/>
    <n v="-2"/>
    <n v="0"/>
    <x v="37"/>
    <x v="1"/>
    <x v="1"/>
    <n v="0"/>
    <n v="1"/>
    <n v="645"/>
    <n v="9"/>
    <x v="0"/>
    <x v="0"/>
    <n v="3"/>
    <n v="54"/>
    <n v="3"/>
    <n v="1"/>
    <n v="1"/>
    <x v="804"/>
    <n v="7172"/>
    <n v="1"/>
    <n v="25"/>
    <n v="4"/>
    <n v="3"/>
    <n v="80"/>
    <n v="0"/>
    <n v="1"/>
    <n v="3"/>
    <n v="1"/>
    <n v="1"/>
    <n v="0"/>
    <n v="0"/>
  </r>
  <r>
    <x v="1"/>
    <s v="Travel_Rarely"/>
    <x v="1"/>
    <s v="Current Employees"/>
    <x v="1"/>
    <x v="2"/>
    <x v="854"/>
    <n v="1195"/>
    <x v="0"/>
    <x v="1"/>
    <x v="1"/>
    <s v="Yes"/>
    <s v="Y"/>
    <n v="2"/>
    <n v="-2"/>
    <n v="0"/>
    <x v="28"/>
    <x v="1"/>
    <x v="1"/>
    <n v="0"/>
    <n v="1"/>
    <n v="1457"/>
    <n v="7"/>
    <x v="3"/>
    <x v="0"/>
    <n v="1"/>
    <n v="83"/>
    <n v="3"/>
    <n v="1"/>
    <n v="3"/>
    <x v="805"/>
    <n v="20100"/>
    <n v="4"/>
    <n v="19"/>
    <n v="3"/>
    <n v="3"/>
    <n v="80"/>
    <n v="1"/>
    <n v="7"/>
    <n v="2"/>
    <n v="3"/>
    <n v="2"/>
    <n v="0"/>
    <n v="2"/>
  </r>
  <r>
    <x v="1"/>
    <s v="Travel_Rarely"/>
    <x v="0"/>
    <s v="Current Employees"/>
    <x v="1"/>
    <x v="0"/>
    <x v="855"/>
    <n v="1196"/>
    <x v="0"/>
    <x v="3"/>
    <x v="1"/>
    <s v="No"/>
    <s v="Y"/>
    <n v="2"/>
    <n v="-2"/>
    <n v="0"/>
    <x v="2"/>
    <x v="1"/>
    <x v="1"/>
    <n v="0"/>
    <n v="1"/>
    <n v="977"/>
    <n v="1"/>
    <x v="3"/>
    <x v="0"/>
    <n v="4"/>
    <n v="56"/>
    <n v="2"/>
    <n v="2"/>
    <n v="1"/>
    <x v="806"/>
    <n v="9961"/>
    <n v="1"/>
    <n v="13"/>
    <n v="3"/>
    <n v="2"/>
    <n v="80"/>
    <n v="1"/>
    <n v="14"/>
    <n v="2"/>
    <n v="14"/>
    <n v="8"/>
    <n v="3"/>
    <n v="11"/>
  </r>
  <r>
    <x v="1"/>
    <s v="Travel_Rarely"/>
    <x v="4"/>
    <s v="Current Employees"/>
    <x v="1"/>
    <x v="0"/>
    <x v="856"/>
    <n v="1198"/>
    <x v="1"/>
    <x v="2"/>
    <x v="0"/>
    <s v="No"/>
    <s v="Y"/>
    <n v="2"/>
    <n v="-2"/>
    <n v="0"/>
    <x v="35"/>
    <x v="1"/>
    <x v="1"/>
    <n v="0"/>
    <n v="1"/>
    <n v="805"/>
    <n v="3"/>
    <x v="3"/>
    <x v="0"/>
    <n v="1"/>
    <n v="87"/>
    <n v="2"/>
    <n v="1"/>
    <n v="1"/>
    <x v="807"/>
    <n v="12828"/>
    <n v="1"/>
    <n v="12"/>
    <n v="3"/>
    <n v="1"/>
    <n v="80"/>
    <n v="0"/>
    <n v="2"/>
    <n v="2"/>
    <n v="2"/>
    <n v="2"/>
    <n v="1"/>
    <n v="2"/>
  </r>
  <r>
    <x v="0"/>
    <s v="Travel_Rarely"/>
    <x v="0"/>
    <s v="Ex-Employees"/>
    <x v="1"/>
    <x v="0"/>
    <x v="857"/>
    <n v="1200"/>
    <x v="1"/>
    <x v="1"/>
    <x v="0"/>
    <s v="Yes"/>
    <s v="Y"/>
    <n v="4"/>
    <n v="-2"/>
    <n v="0"/>
    <x v="20"/>
    <x v="0"/>
    <x v="0"/>
    <n v="1"/>
    <n v="0"/>
    <n v="1097"/>
    <n v="10"/>
    <x v="2"/>
    <x v="0"/>
    <n v="3"/>
    <n v="96"/>
    <n v="3"/>
    <n v="1"/>
    <n v="1"/>
    <x v="808"/>
    <n v="10826"/>
    <n v="1"/>
    <n v="11"/>
    <n v="3"/>
    <n v="3"/>
    <n v="80"/>
    <n v="0"/>
    <n v="6"/>
    <n v="3"/>
    <n v="6"/>
    <n v="4"/>
    <n v="0"/>
    <n v="2"/>
  </r>
  <r>
    <x v="1"/>
    <s v="Travel_Rarely"/>
    <x v="1"/>
    <s v="Current Employees"/>
    <x v="1"/>
    <x v="2"/>
    <x v="858"/>
    <n v="1201"/>
    <x v="0"/>
    <x v="5"/>
    <x v="2"/>
    <s v="No"/>
    <s v="Y"/>
    <n v="6"/>
    <n v="-2"/>
    <n v="0"/>
    <x v="16"/>
    <x v="1"/>
    <x v="1"/>
    <n v="0"/>
    <n v="1"/>
    <n v="1223"/>
    <n v="7"/>
    <x v="0"/>
    <x v="0"/>
    <n v="4"/>
    <n v="50"/>
    <n v="3"/>
    <n v="5"/>
    <n v="3"/>
    <x v="809"/>
    <n v="18640"/>
    <n v="3"/>
    <n v="18"/>
    <n v="3"/>
    <n v="2"/>
    <n v="80"/>
    <n v="1"/>
    <n v="26"/>
    <n v="3"/>
    <n v="7"/>
    <n v="7"/>
    <n v="4"/>
    <n v="7"/>
  </r>
  <r>
    <x v="1"/>
    <s v="Travel_Rarely"/>
    <x v="2"/>
    <s v="Current Employees"/>
    <x v="1"/>
    <x v="0"/>
    <x v="859"/>
    <n v="1202"/>
    <x v="0"/>
    <x v="1"/>
    <x v="1"/>
    <s v="Yes"/>
    <s v="Y"/>
    <n v="2"/>
    <n v="-2"/>
    <n v="0"/>
    <x v="11"/>
    <x v="1"/>
    <x v="1"/>
    <n v="0"/>
    <n v="1"/>
    <n v="942"/>
    <n v="15"/>
    <x v="1"/>
    <x v="0"/>
    <n v="2"/>
    <n v="69"/>
    <n v="1"/>
    <n v="1"/>
    <n v="1"/>
    <x v="810"/>
    <n v="26933"/>
    <n v="0"/>
    <n v="18"/>
    <n v="3"/>
    <n v="1"/>
    <n v="80"/>
    <n v="1"/>
    <n v="6"/>
    <n v="2"/>
    <n v="5"/>
    <n v="4"/>
    <n v="1"/>
    <n v="3"/>
  </r>
  <r>
    <x v="0"/>
    <s v="Travel_Frequently"/>
    <x v="4"/>
    <s v="Ex-Employees"/>
    <x v="1"/>
    <x v="0"/>
    <x v="860"/>
    <n v="1203"/>
    <x v="1"/>
    <x v="1"/>
    <x v="1"/>
    <s v="Yes"/>
    <s v="Y"/>
    <n v="5"/>
    <n v="-2"/>
    <n v="0"/>
    <x v="15"/>
    <x v="0"/>
    <x v="0"/>
    <n v="1"/>
    <n v="0"/>
    <n v="1256"/>
    <n v="3"/>
    <x v="2"/>
    <x v="0"/>
    <n v="3"/>
    <n v="48"/>
    <n v="2"/>
    <n v="1"/>
    <n v="1"/>
    <x v="811"/>
    <n v="4223"/>
    <n v="0"/>
    <n v="11"/>
    <n v="3"/>
    <n v="2"/>
    <n v="80"/>
    <n v="1"/>
    <n v="1"/>
    <n v="3"/>
    <n v="0"/>
    <n v="0"/>
    <n v="0"/>
    <n v="0"/>
  </r>
  <r>
    <x v="1"/>
    <s v="Travel_Rarely"/>
    <x v="1"/>
    <s v="Current Employees"/>
    <x v="0"/>
    <x v="3"/>
    <x v="861"/>
    <n v="1204"/>
    <x v="0"/>
    <x v="5"/>
    <x v="1"/>
    <s v="No"/>
    <s v="Y"/>
    <n v="2"/>
    <n v="-2"/>
    <n v="0"/>
    <x v="21"/>
    <x v="1"/>
    <x v="1"/>
    <n v="0"/>
    <n v="1"/>
    <n v="1402"/>
    <n v="2"/>
    <x v="3"/>
    <x v="0"/>
    <n v="3"/>
    <n v="69"/>
    <n v="3"/>
    <n v="4"/>
    <n v="2"/>
    <x v="812"/>
    <n v="24097"/>
    <n v="8"/>
    <n v="23"/>
    <n v="4"/>
    <n v="1"/>
    <n v="80"/>
    <n v="0"/>
    <n v="28"/>
    <n v="3"/>
    <n v="26"/>
    <n v="15"/>
    <n v="15"/>
    <n v="9"/>
  </r>
  <r>
    <x v="1"/>
    <s v="Non-Travel"/>
    <x v="0"/>
    <s v="Current Employees"/>
    <x v="1"/>
    <x v="0"/>
    <x v="862"/>
    <n v="1206"/>
    <x v="1"/>
    <x v="1"/>
    <x v="0"/>
    <s v="No"/>
    <s v="Y"/>
    <n v="3"/>
    <n v="-2"/>
    <n v="0"/>
    <x v="20"/>
    <x v="1"/>
    <x v="1"/>
    <n v="0"/>
    <n v="1"/>
    <n v="111"/>
    <n v="17"/>
    <x v="3"/>
    <x v="0"/>
    <n v="4"/>
    <n v="74"/>
    <n v="1"/>
    <n v="1"/>
    <n v="1"/>
    <x v="813"/>
    <n v="4279"/>
    <n v="2"/>
    <n v="13"/>
    <n v="3"/>
    <n v="4"/>
    <n v="80"/>
    <n v="0"/>
    <n v="6"/>
    <n v="3"/>
    <n v="0"/>
    <n v="0"/>
    <n v="0"/>
    <n v="0"/>
  </r>
  <r>
    <x v="1"/>
    <s v="Travel_Rarely"/>
    <x v="2"/>
    <s v="Current Employees"/>
    <x v="2"/>
    <x v="5"/>
    <x v="863"/>
    <n v="1207"/>
    <x v="1"/>
    <x v="8"/>
    <x v="1"/>
    <s v="No"/>
    <s v="Y"/>
    <n v="2"/>
    <n v="-2"/>
    <n v="0"/>
    <x v="3"/>
    <x v="1"/>
    <x v="1"/>
    <n v="0"/>
    <n v="1"/>
    <n v="147"/>
    <n v="2"/>
    <x v="3"/>
    <x v="0"/>
    <n v="2"/>
    <n v="99"/>
    <n v="3"/>
    <n v="1"/>
    <n v="3"/>
    <x v="814"/>
    <n v="8429"/>
    <n v="1"/>
    <n v="13"/>
    <n v="3"/>
    <n v="4"/>
    <n v="80"/>
    <n v="1"/>
    <n v="5"/>
    <n v="3"/>
    <n v="5"/>
    <n v="4"/>
    <n v="1"/>
    <n v="4"/>
  </r>
  <r>
    <x v="0"/>
    <s v="Non-Travel"/>
    <x v="0"/>
    <s v="Ex-Employees"/>
    <x v="1"/>
    <x v="0"/>
    <x v="864"/>
    <n v="1210"/>
    <x v="1"/>
    <x v="1"/>
    <x v="2"/>
    <s v="No"/>
    <s v="Y"/>
    <n v="2"/>
    <n v="-2"/>
    <n v="0"/>
    <x v="0"/>
    <x v="0"/>
    <x v="0"/>
    <n v="1"/>
    <n v="0"/>
    <n v="906"/>
    <n v="5"/>
    <x v="0"/>
    <x v="0"/>
    <n v="1"/>
    <n v="95"/>
    <n v="2"/>
    <n v="1"/>
    <n v="1"/>
    <x v="815"/>
    <n v="20293"/>
    <n v="6"/>
    <n v="17"/>
    <n v="3"/>
    <n v="1"/>
    <n v="80"/>
    <n v="1"/>
    <n v="5"/>
    <n v="1"/>
    <n v="1"/>
    <n v="0"/>
    <n v="0"/>
    <n v="0"/>
  </r>
  <r>
    <x v="1"/>
    <s v="Travel_Rarely"/>
    <x v="2"/>
    <s v="Current Employees"/>
    <x v="0"/>
    <x v="0"/>
    <x v="865"/>
    <n v="1211"/>
    <x v="1"/>
    <x v="0"/>
    <x v="2"/>
    <s v="No"/>
    <s v="Y"/>
    <n v="3"/>
    <n v="-2"/>
    <n v="0"/>
    <x v="7"/>
    <x v="1"/>
    <x v="1"/>
    <n v="0"/>
    <n v="1"/>
    <n v="1329"/>
    <n v="29"/>
    <x v="2"/>
    <x v="0"/>
    <n v="3"/>
    <n v="61"/>
    <n v="3"/>
    <n v="2"/>
    <n v="1"/>
    <x v="816"/>
    <n v="13192"/>
    <n v="8"/>
    <n v="19"/>
    <n v="3"/>
    <n v="3"/>
    <n v="80"/>
    <n v="3"/>
    <n v="8"/>
    <n v="3"/>
    <n v="4"/>
    <n v="3"/>
    <n v="0"/>
    <n v="3"/>
  </r>
  <r>
    <x v="1"/>
    <s v="Travel_Frequently"/>
    <x v="0"/>
    <s v="Current Employees"/>
    <x v="0"/>
    <x v="2"/>
    <x v="866"/>
    <n v="1212"/>
    <x v="1"/>
    <x v="0"/>
    <x v="1"/>
    <s v="No"/>
    <s v="Y"/>
    <n v="2"/>
    <n v="-2"/>
    <n v="0"/>
    <x v="32"/>
    <x v="1"/>
    <x v="1"/>
    <n v="0"/>
    <n v="1"/>
    <n v="1184"/>
    <n v="2"/>
    <x v="2"/>
    <x v="0"/>
    <n v="2"/>
    <n v="62"/>
    <n v="3"/>
    <n v="2"/>
    <n v="2"/>
    <x v="817"/>
    <n v="25440"/>
    <n v="5"/>
    <n v="12"/>
    <n v="3"/>
    <n v="4"/>
    <n v="80"/>
    <n v="3"/>
    <n v="5"/>
    <n v="3"/>
    <n v="0"/>
    <n v="0"/>
    <n v="0"/>
    <n v="0"/>
  </r>
  <r>
    <x v="1"/>
    <s v="Travel_Frequently"/>
    <x v="1"/>
    <s v="Current Employees"/>
    <x v="1"/>
    <x v="2"/>
    <x v="867"/>
    <n v="1215"/>
    <x v="0"/>
    <x v="5"/>
    <x v="1"/>
    <s v="No"/>
    <s v="Y"/>
    <n v="3"/>
    <n v="-2"/>
    <n v="0"/>
    <x v="24"/>
    <x v="1"/>
    <x v="1"/>
    <n v="0"/>
    <n v="1"/>
    <n v="1421"/>
    <n v="2"/>
    <x v="3"/>
    <x v="0"/>
    <n v="4"/>
    <n v="30"/>
    <n v="3"/>
    <n v="4"/>
    <n v="3"/>
    <x v="818"/>
    <n v="9490"/>
    <n v="2"/>
    <n v="22"/>
    <n v="4"/>
    <n v="3"/>
    <n v="80"/>
    <n v="1"/>
    <n v="32"/>
    <n v="3"/>
    <n v="2"/>
    <n v="2"/>
    <n v="2"/>
    <n v="2"/>
  </r>
  <r>
    <x v="1"/>
    <s v="Travel_Rarely"/>
    <x v="2"/>
    <s v="Current Employees"/>
    <x v="1"/>
    <x v="2"/>
    <x v="868"/>
    <n v="1216"/>
    <x v="1"/>
    <x v="2"/>
    <x v="1"/>
    <s v="No"/>
    <s v="Y"/>
    <n v="2"/>
    <n v="-2"/>
    <n v="0"/>
    <x v="14"/>
    <x v="1"/>
    <x v="1"/>
    <n v="0"/>
    <n v="1"/>
    <n v="1179"/>
    <n v="19"/>
    <x v="2"/>
    <x v="0"/>
    <n v="4"/>
    <n v="78"/>
    <n v="2"/>
    <n v="1"/>
    <n v="3"/>
    <x v="819"/>
    <n v="12449"/>
    <n v="1"/>
    <n v="12"/>
    <n v="3"/>
    <n v="3"/>
    <n v="80"/>
    <n v="3"/>
    <n v="6"/>
    <n v="3"/>
    <n v="6"/>
    <n v="5"/>
    <n v="3"/>
    <n v="3"/>
  </r>
  <r>
    <x v="1"/>
    <s v="Travel_Rarely"/>
    <x v="1"/>
    <s v="Current Employees"/>
    <x v="1"/>
    <x v="0"/>
    <x v="869"/>
    <n v="1217"/>
    <x v="1"/>
    <x v="7"/>
    <x v="1"/>
    <s v="No"/>
    <s v="Y"/>
    <n v="2"/>
    <n v="-2"/>
    <n v="0"/>
    <x v="21"/>
    <x v="1"/>
    <x v="1"/>
    <n v="0"/>
    <n v="1"/>
    <n v="1450"/>
    <n v="15"/>
    <x v="0"/>
    <x v="0"/>
    <n v="4"/>
    <n v="52"/>
    <n v="3"/>
    <n v="5"/>
    <n v="1"/>
    <x v="820"/>
    <n v="10849"/>
    <n v="5"/>
    <n v="11"/>
    <n v="3"/>
    <n v="1"/>
    <n v="80"/>
    <n v="1"/>
    <n v="25"/>
    <n v="3"/>
    <n v="4"/>
    <n v="2"/>
    <n v="0"/>
    <n v="3"/>
  </r>
  <r>
    <x v="1"/>
    <s v="Travel_Rarely"/>
    <x v="0"/>
    <s v="Current Employees"/>
    <x v="0"/>
    <x v="0"/>
    <x v="870"/>
    <n v="1218"/>
    <x v="1"/>
    <x v="0"/>
    <x v="1"/>
    <s v="Yes"/>
    <s v="Y"/>
    <n v="2"/>
    <n v="-2"/>
    <n v="0"/>
    <x v="10"/>
    <x v="1"/>
    <x v="1"/>
    <n v="0"/>
    <n v="1"/>
    <n v="1361"/>
    <n v="17"/>
    <x v="2"/>
    <x v="0"/>
    <n v="3"/>
    <n v="94"/>
    <n v="3"/>
    <n v="2"/>
    <n v="1"/>
    <x v="821"/>
    <n v="21026"/>
    <n v="3"/>
    <n v="15"/>
    <n v="3"/>
    <n v="4"/>
    <n v="80"/>
    <n v="3"/>
    <n v="15"/>
    <n v="3"/>
    <n v="7"/>
    <n v="7"/>
    <n v="1"/>
    <n v="7"/>
  </r>
  <r>
    <x v="0"/>
    <s v="Travel_Rarely"/>
    <x v="4"/>
    <s v="Ex-Employees"/>
    <x v="1"/>
    <x v="0"/>
    <x v="871"/>
    <n v="1219"/>
    <x v="0"/>
    <x v="2"/>
    <x v="1"/>
    <s v="No"/>
    <s v="Y"/>
    <n v="3"/>
    <n v="-2"/>
    <n v="0"/>
    <x v="17"/>
    <x v="0"/>
    <x v="0"/>
    <n v="1"/>
    <n v="0"/>
    <n v="984"/>
    <n v="17"/>
    <x v="0"/>
    <x v="0"/>
    <n v="4"/>
    <n v="97"/>
    <n v="3"/>
    <n v="1"/>
    <n v="1"/>
    <x v="822"/>
    <n v="3372"/>
    <n v="1"/>
    <n v="13"/>
    <n v="3"/>
    <n v="1"/>
    <n v="80"/>
    <n v="1"/>
    <n v="1"/>
    <n v="1"/>
    <n v="1"/>
    <n v="0"/>
    <n v="0"/>
    <n v="0"/>
  </r>
  <r>
    <x v="1"/>
    <s v="Travel_Frequently"/>
    <x v="2"/>
    <s v="Current Employees"/>
    <x v="0"/>
    <x v="2"/>
    <x v="872"/>
    <n v="1220"/>
    <x v="0"/>
    <x v="0"/>
    <x v="1"/>
    <s v="No"/>
    <s v="Y"/>
    <n v="3"/>
    <n v="-2"/>
    <n v="0"/>
    <x v="3"/>
    <x v="1"/>
    <x v="1"/>
    <n v="0"/>
    <n v="1"/>
    <n v="1146"/>
    <n v="25"/>
    <x v="3"/>
    <x v="0"/>
    <n v="2"/>
    <n v="82"/>
    <n v="3"/>
    <n v="2"/>
    <n v="3"/>
    <x v="823"/>
    <n v="4905"/>
    <n v="1"/>
    <n v="12"/>
    <n v="3"/>
    <n v="1"/>
    <n v="80"/>
    <n v="1"/>
    <n v="10"/>
    <n v="2"/>
    <n v="10"/>
    <n v="7"/>
    <n v="0"/>
    <n v="1"/>
  </r>
  <r>
    <x v="1"/>
    <s v="Travel_Rarely"/>
    <x v="0"/>
    <s v="Current Employees"/>
    <x v="1"/>
    <x v="0"/>
    <x v="873"/>
    <n v="1221"/>
    <x v="1"/>
    <x v="2"/>
    <x v="2"/>
    <s v="No"/>
    <s v="Y"/>
    <n v="4"/>
    <n v="-2"/>
    <n v="0"/>
    <x v="9"/>
    <x v="1"/>
    <x v="1"/>
    <n v="0"/>
    <n v="1"/>
    <n v="917"/>
    <n v="6"/>
    <x v="2"/>
    <x v="0"/>
    <n v="3"/>
    <n v="60"/>
    <n v="1"/>
    <n v="1"/>
    <n v="1"/>
    <x v="199"/>
    <n v="6865"/>
    <n v="1"/>
    <n v="14"/>
    <n v="3"/>
    <n v="3"/>
    <n v="80"/>
    <n v="1"/>
    <n v="7"/>
    <n v="3"/>
    <n v="7"/>
    <n v="7"/>
    <n v="1"/>
    <n v="7"/>
  </r>
  <r>
    <x v="1"/>
    <s v="Travel_Rarely"/>
    <x v="2"/>
    <s v="Current Employees"/>
    <x v="1"/>
    <x v="0"/>
    <x v="874"/>
    <n v="1224"/>
    <x v="1"/>
    <x v="2"/>
    <x v="2"/>
    <s v="No"/>
    <s v="Y"/>
    <n v="4"/>
    <n v="-2"/>
    <n v="0"/>
    <x v="7"/>
    <x v="1"/>
    <x v="1"/>
    <n v="0"/>
    <n v="1"/>
    <n v="853"/>
    <n v="7"/>
    <x v="2"/>
    <x v="0"/>
    <n v="3"/>
    <n v="49"/>
    <n v="3"/>
    <n v="2"/>
    <n v="1"/>
    <x v="824"/>
    <n v="11309"/>
    <n v="1"/>
    <n v="13"/>
    <n v="3"/>
    <n v="1"/>
    <n v="80"/>
    <n v="3"/>
    <n v="10"/>
    <n v="2"/>
    <n v="10"/>
    <n v="7"/>
    <n v="8"/>
    <n v="9"/>
  </r>
  <r>
    <x v="1"/>
    <s v="Travel_Rarely"/>
    <x v="0"/>
    <s v="Current Employees"/>
    <x v="1"/>
    <x v="1"/>
    <x v="875"/>
    <n v="1225"/>
    <x v="1"/>
    <x v="1"/>
    <x v="0"/>
    <s v="No"/>
    <s v="Y"/>
    <n v="3"/>
    <n v="-2"/>
    <n v="0"/>
    <x v="20"/>
    <x v="1"/>
    <x v="1"/>
    <n v="0"/>
    <n v="1"/>
    <n v="200"/>
    <n v="29"/>
    <x v="2"/>
    <x v="0"/>
    <n v="4"/>
    <n v="32"/>
    <n v="3"/>
    <n v="2"/>
    <n v="4"/>
    <x v="825"/>
    <n v="7744"/>
    <n v="1"/>
    <n v="25"/>
    <n v="4"/>
    <n v="2"/>
    <n v="80"/>
    <n v="0"/>
    <n v="20"/>
    <n v="3"/>
    <n v="20"/>
    <n v="11"/>
    <n v="13"/>
    <n v="17"/>
  </r>
  <r>
    <x v="1"/>
    <s v="Travel_Rarely"/>
    <x v="4"/>
    <s v="Current Employees"/>
    <x v="0"/>
    <x v="3"/>
    <x v="876"/>
    <n v="1226"/>
    <x v="1"/>
    <x v="6"/>
    <x v="0"/>
    <s v="No"/>
    <s v="Y"/>
    <n v="2"/>
    <n v="-2"/>
    <n v="0"/>
    <x v="35"/>
    <x v="1"/>
    <x v="1"/>
    <n v="0"/>
    <n v="1"/>
    <n v="654"/>
    <n v="21"/>
    <x v="3"/>
    <x v="0"/>
    <n v="3"/>
    <n v="43"/>
    <n v="4"/>
    <n v="1"/>
    <n v="2"/>
    <x v="826"/>
    <n v="5050"/>
    <n v="1"/>
    <n v="17"/>
    <n v="3"/>
    <n v="4"/>
    <n v="80"/>
    <n v="0"/>
    <n v="2"/>
    <n v="3"/>
    <n v="2"/>
    <n v="1"/>
    <n v="2"/>
    <n v="2"/>
  </r>
  <r>
    <x v="1"/>
    <s v="Travel_Rarely"/>
    <x v="1"/>
    <s v="Current Employees"/>
    <x v="1"/>
    <x v="4"/>
    <x v="877"/>
    <n v="1228"/>
    <x v="1"/>
    <x v="3"/>
    <x v="2"/>
    <s v="No"/>
    <s v="Y"/>
    <n v="3"/>
    <n v="-2"/>
    <n v="0"/>
    <x v="21"/>
    <x v="1"/>
    <x v="1"/>
    <n v="0"/>
    <n v="1"/>
    <n v="150"/>
    <n v="2"/>
    <x v="2"/>
    <x v="0"/>
    <n v="4"/>
    <n v="60"/>
    <n v="3"/>
    <n v="2"/>
    <n v="4"/>
    <x v="827"/>
    <n v="17433"/>
    <n v="2"/>
    <n v="11"/>
    <n v="3"/>
    <n v="3"/>
    <n v="80"/>
    <n v="1"/>
    <n v="12"/>
    <n v="2"/>
    <n v="6"/>
    <n v="3"/>
    <n v="1"/>
    <n v="4"/>
  </r>
  <r>
    <x v="1"/>
    <s v="Non-Travel"/>
    <x v="0"/>
    <s v="Current Employees"/>
    <x v="2"/>
    <x v="2"/>
    <x v="878"/>
    <n v="1231"/>
    <x v="1"/>
    <x v="8"/>
    <x v="1"/>
    <s v="No"/>
    <s v="Y"/>
    <n v="3"/>
    <n v="-2"/>
    <n v="0"/>
    <x v="19"/>
    <x v="1"/>
    <x v="1"/>
    <n v="0"/>
    <n v="1"/>
    <n v="179"/>
    <n v="2"/>
    <x v="4"/>
    <x v="0"/>
    <n v="4"/>
    <n v="79"/>
    <n v="4"/>
    <n v="2"/>
    <n v="3"/>
    <x v="458"/>
    <n v="12858"/>
    <n v="7"/>
    <n v="16"/>
    <n v="3"/>
    <n v="1"/>
    <n v="80"/>
    <n v="1"/>
    <n v="10"/>
    <n v="4"/>
    <n v="4"/>
    <n v="3"/>
    <n v="0"/>
    <n v="3"/>
  </r>
  <r>
    <x v="1"/>
    <s v="Travel_Rarely"/>
    <x v="3"/>
    <s v="Current Employees"/>
    <x v="0"/>
    <x v="3"/>
    <x v="879"/>
    <n v="1233"/>
    <x v="1"/>
    <x v="0"/>
    <x v="2"/>
    <s v="Yes"/>
    <s v="Y"/>
    <n v="3"/>
    <n v="-2"/>
    <n v="0"/>
    <x v="42"/>
    <x v="1"/>
    <x v="1"/>
    <n v="0"/>
    <n v="1"/>
    <n v="696"/>
    <n v="7"/>
    <x v="2"/>
    <x v="0"/>
    <n v="2"/>
    <n v="52"/>
    <n v="4"/>
    <n v="2"/>
    <n v="2"/>
    <x v="828"/>
    <n v="10893"/>
    <n v="0"/>
    <n v="18"/>
    <n v="3"/>
    <n v="2"/>
    <n v="80"/>
    <n v="1"/>
    <n v="12"/>
    <n v="3"/>
    <n v="11"/>
    <n v="7"/>
    <n v="1"/>
    <n v="9"/>
  </r>
  <r>
    <x v="1"/>
    <s v="Travel_Frequently"/>
    <x v="2"/>
    <s v="Current Employees"/>
    <x v="1"/>
    <x v="1"/>
    <x v="880"/>
    <n v="1234"/>
    <x v="0"/>
    <x v="2"/>
    <x v="1"/>
    <s v="No"/>
    <s v="Y"/>
    <n v="2"/>
    <n v="-2"/>
    <n v="0"/>
    <x v="5"/>
    <x v="1"/>
    <x v="1"/>
    <n v="0"/>
    <n v="1"/>
    <n v="116"/>
    <n v="13"/>
    <x v="3"/>
    <x v="0"/>
    <n v="3"/>
    <n v="77"/>
    <n v="2"/>
    <n v="1"/>
    <n v="2"/>
    <x v="714"/>
    <n v="7331"/>
    <n v="1"/>
    <n v="20"/>
    <n v="4"/>
    <n v="3"/>
    <n v="80"/>
    <n v="1"/>
    <n v="2"/>
    <n v="3"/>
    <n v="2"/>
    <n v="2"/>
    <n v="2"/>
    <n v="2"/>
  </r>
  <r>
    <x v="1"/>
    <s v="Travel_Frequently"/>
    <x v="2"/>
    <s v="Current Employees"/>
    <x v="1"/>
    <x v="0"/>
    <x v="881"/>
    <n v="1235"/>
    <x v="0"/>
    <x v="1"/>
    <x v="0"/>
    <s v="Yes"/>
    <s v="Y"/>
    <n v="2"/>
    <n v="-2"/>
    <n v="0"/>
    <x v="5"/>
    <x v="1"/>
    <x v="1"/>
    <n v="0"/>
    <n v="1"/>
    <n v="1316"/>
    <n v="2"/>
    <x v="0"/>
    <x v="0"/>
    <n v="4"/>
    <n v="38"/>
    <n v="3"/>
    <n v="2"/>
    <n v="1"/>
    <x v="829"/>
    <n v="2338"/>
    <n v="4"/>
    <n v="14"/>
    <n v="3"/>
    <n v="4"/>
    <n v="80"/>
    <n v="0"/>
    <n v="10"/>
    <n v="3"/>
    <n v="8"/>
    <n v="7"/>
    <n v="0"/>
    <n v="7"/>
  </r>
  <r>
    <x v="1"/>
    <s v="Travel_Rarely"/>
    <x v="0"/>
    <s v="Current Employees"/>
    <x v="1"/>
    <x v="4"/>
    <x v="882"/>
    <n v="1237"/>
    <x v="0"/>
    <x v="3"/>
    <x v="2"/>
    <s v="Yes"/>
    <s v="Y"/>
    <n v="2"/>
    <n v="-2"/>
    <n v="0"/>
    <x v="9"/>
    <x v="1"/>
    <x v="1"/>
    <n v="0"/>
    <n v="1"/>
    <n v="363"/>
    <n v="1"/>
    <x v="3"/>
    <x v="0"/>
    <n v="4"/>
    <n v="77"/>
    <n v="1"/>
    <n v="3"/>
    <n v="4"/>
    <x v="830"/>
    <n v="4235"/>
    <n v="2"/>
    <n v="21"/>
    <n v="4"/>
    <n v="3"/>
    <n v="80"/>
    <n v="1"/>
    <n v="17"/>
    <n v="3"/>
    <n v="7"/>
    <n v="7"/>
    <n v="7"/>
    <n v="7"/>
  </r>
  <r>
    <x v="1"/>
    <s v="Travel_Rarely"/>
    <x v="2"/>
    <s v="Current Employees"/>
    <x v="1"/>
    <x v="2"/>
    <x v="883"/>
    <n v="1238"/>
    <x v="1"/>
    <x v="1"/>
    <x v="1"/>
    <s v="No"/>
    <s v="Y"/>
    <n v="5"/>
    <n v="-2"/>
    <n v="0"/>
    <x v="3"/>
    <x v="1"/>
    <x v="1"/>
    <n v="0"/>
    <n v="1"/>
    <n v="117"/>
    <n v="9"/>
    <x v="3"/>
    <x v="0"/>
    <n v="1"/>
    <n v="60"/>
    <n v="3"/>
    <n v="1"/>
    <n v="4"/>
    <x v="831"/>
    <n v="6311"/>
    <n v="0"/>
    <n v="13"/>
    <n v="3"/>
    <n v="2"/>
    <n v="80"/>
    <n v="1"/>
    <n v="15"/>
    <n v="3"/>
    <n v="14"/>
    <n v="10"/>
    <n v="4"/>
    <n v="10"/>
  </r>
  <r>
    <x v="1"/>
    <s v="Travel_Rarely"/>
    <x v="0"/>
    <s v="Current Employees"/>
    <x v="0"/>
    <x v="4"/>
    <x v="884"/>
    <n v="1239"/>
    <x v="0"/>
    <x v="0"/>
    <x v="2"/>
    <s v="No"/>
    <s v="Y"/>
    <n v="2"/>
    <n v="-2"/>
    <n v="0"/>
    <x v="32"/>
    <x v="1"/>
    <x v="1"/>
    <n v="0"/>
    <n v="1"/>
    <n v="107"/>
    <n v="10"/>
    <x v="3"/>
    <x v="0"/>
    <n v="4"/>
    <n v="84"/>
    <n v="2"/>
    <n v="2"/>
    <n v="4"/>
    <x v="832"/>
    <n v="11591"/>
    <n v="7"/>
    <n v="12"/>
    <n v="3"/>
    <n v="2"/>
    <n v="80"/>
    <n v="1"/>
    <n v="7"/>
    <n v="4"/>
    <n v="5"/>
    <n v="1"/>
    <n v="1"/>
    <n v="3"/>
  </r>
  <r>
    <x v="1"/>
    <s v="Travel_Rarely"/>
    <x v="2"/>
    <s v="Current Employees"/>
    <x v="0"/>
    <x v="0"/>
    <x v="885"/>
    <n v="1240"/>
    <x v="1"/>
    <x v="0"/>
    <x v="0"/>
    <s v="No"/>
    <s v="Y"/>
    <n v="4"/>
    <n v="-2"/>
    <n v="0"/>
    <x v="36"/>
    <x v="1"/>
    <x v="1"/>
    <n v="0"/>
    <n v="1"/>
    <n v="1356"/>
    <n v="10"/>
    <x v="2"/>
    <x v="0"/>
    <n v="3"/>
    <n v="57"/>
    <n v="3"/>
    <n v="2"/>
    <n v="1"/>
    <x v="833"/>
    <n v="20623"/>
    <n v="0"/>
    <n v="14"/>
    <n v="3"/>
    <n v="2"/>
    <n v="80"/>
    <n v="0"/>
    <n v="5"/>
    <n v="3"/>
    <n v="4"/>
    <n v="3"/>
    <n v="1"/>
    <n v="1"/>
  </r>
  <r>
    <x v="1"/>
    <s v="Travel_Rarely"/>
    <x v="2"/>
    <s v="Current Employees"/>
    <x v="1"/>
    <x v="2"/>
    <x v="886"/>
    <n v="1241"/>
    <x v="1"/>
    <x v="1"/>
    <x v="1"/>
    <s v="Yes"/>
    <s v="Y"/>
    <n v="2"/>
    <n v="-2"/>
    <n v="0"/>
    <x v="7"/>
    <x v="1"/>
    <x v="1"/>
    <n v="0"/>
    <n v="1"/>
    <n v="1465"/>
    <n v="1"/>
    <x v="3"/>
    <x v="0"/>
    <n v="4"/>
    <n v="63"/>
    <n v="3"/>
    <n v="1"/>
    <n v="2"/>
    <x v="834"/>
    <n v="9369"/>
    <n v="0"/>
    <n v="21"/>
    <n v="4"/>
    <n v="1"/>
    <n v="80"/>
    <n v="1"/>
    <n v="12"/>
    <n v="3"/>
    <n v="11"/>
    <n v="9"/>
    <n v="5"/>
    <n v="7"/>
  </r>
  <r>
    <x v="1"/>
    <s v="Travel_Frequently"/>
    <x v="0"/>
    <s v="Current Employees"/>
    <x v="1"/>
    <x v="2"/>
    <x v="887"/>
    <n v="1242"/>
    <x v="0"/>
    <x v="7"/>
    <x v="1"/>
    <s v="Yes"/>
    <s v="Y"/>
    <n v="6"/>
    <n v="-2"/>
    <n v="0"/>
    <x v="19"/>
    <x v="1"/>
    <x v="1"/>
    <n v="0"/>
    <n v="1"/>
    <n v="458"/>
    <n v="26"/>
    <x v="4"/>
    <x v="0"/>
    <n v="1"/>
    <n v="60"/>
    <n v="3"/>
    <n v="3"/>
    <n v="3"/>
    <x v="835"/>
    <n v="23281"/>
    <n v="3"/>
    <n v="17"/>
    <n v="3"/>
    <n v="3"/>
    <n v="80"/>
    <n v="0"/>
    <n v="20"/>
    <n v="3"/>
    <n v="1"/>
    <n v="0"/>
    <n v="0"/>
    <n v="0"/>
  </r>
  <r>
    <x v="1"/>
    <s v="Non-Travel"/>
    <x v="0"/>
    <s v="Current Employees"/>
    <x v="0"/>
    <x v="3"/>
    <x v="888"/>
    <n v="1243"/>
    <x v="0"/>
    <x v="0"/>
    <x v="1"/>
    <s v="Yes"/>
    <s v="Y"/>
    <n v="6"/>
    <n v="-2"/>
    <n v="0"/>
    <x v="10"/>
    <x v="1"/>
    <x v="1"/>
    <n v="0"/>
    <n v="1"/>
    <n v="1212"/>
    <n v="8"/>
    <x v="0"/>
    <x v="0"/>
    <n v="3"/>
    <n v="78"/>
    <n v="2"/>
    <n v="3"/>
    <n v="2"/>
    <x v="836"/>
    <n v="13755"/>
    <n v="4"/>
    <n v="11"/>
    <n v="3"/>
    <n v="2"/>
    <n v="80"/>
    <n v="1"/>
    <n v="16"/>
    <n v="2"/>
    <n v="13"/>
    <n v="2"/>
    <n v="4"/>
    <n v="12"/>
  </r>
  <r>
    <x v="1"/>
    <s v="Travel_Rarely"/>
    <x v="2"/>
    <s v="Current Employees"/>
    <x v="1"/>
    <x v="0"/>
    <x v="889"/>
    <n v="1244"/>
    <x v="1"/>
    <x v="1"/>
    <x v="1"/>
    <s v="Yes"/>
    <s v="Y"/>
    <n v="3"/>
    <n v="-2"/>
    <n v="0"/>
    <x v="4"/>
    <x v="1"/>
    <x v="1"/>
    <n v="0"/>
    <n v="1"/>
    <n v="1103"/>
    <n v="14"/>
    <x v="3"/>
    <x v="0"/>
    <n v="1"/>
    <n v="42"/>
    <n v="3"/>
    <n v="1"/>
    <n v="1"/>
    <x v="837"/>
    <n v="14377"/>
    <n v="1"/>
    <n v="14"/>
    <n v="3"/>
    <n v="4"/>
    <n v="80"/>
    <n v="2"/>
    <n v="9"/>
    <n v="2"/>
    <n v="9"/>
    <n v="7"/>
    <n v="6"/>
    <n v="8"/>
  </r>
  <r>
    <x v="1"/>
    <s v="Travel_Frequently"/>
    <x v="1"/>
    <s v="Current Employees"/>
    <x v="1"/>
    <x v="0"/>
    <x v="890"/>
    <n v="1245"/>
    <x v="0"/>
    <x v="3"/>
    <x v="2"/>
    <s v="No"/>
    <s v="Y"/>
    <n v="2"/>
    <n v="-2"/>
    <n v="0"/>
    <x v="33"/>
    <x v="1"/>
    <x v="1"/>
    <n v="0"/>
    <n v="1"/>
    <n v="966"/>
    <n v="1"/>
    <x v="2"/>
    <x v="0"/>
    <n v="4"/>
    <n v="53"/>
    <n v="3"/>
    <n v="3"/>
    <n v="1"/>
    <x v="838"/>
    <n v="9659"/>
    <n v="7"/>
    <n v="17"/>
    <n v="3"/>
    <n v="1"/>
    <n v="80"/>
    <n v="1"/>
    <n v="33"/>
    <n v="1"/>
    <n v="5"/>
    <n v="4"/>
    <n v="1"/>
    <n v="4"/>
  </r>
  <r>
    <x v="1"/>
    <s v="Travel_Rarely"/>
    <x v="0"/>
    <s v="Current Employees"/>
    <x v="1"/>
    <x v="0"/>
    <x v="891"/>
    <n v="1246"/>
    <x v="0"/>
    <x v="1"/>
    <x v="1"/>
    <s v="No"/>
    <s v="Y"/>
    <n v="5"/>
    <n v="-2"/>
    <n v="0"/>
    <x v="20"/>
    <x v="1"/>
    <x v="1"/>
    <n v="0"/>
    <n v="1"/>
    <n v="1117"/>
    <n v="2"/>
    <x v="1"/>
    <x v="0"/>
    <n v="1"/>
    <n v="72"/>
    <n v="4"/>
    <n v="1"/>
    <n v="1"/>
    <x v="839"/>
    <n v="19982"/>
    <n v="1"/>
    <n v="13"/>
    <n v="3"/>
    <n v="4"/>
    <n v="80"/>
    <n v="1"/>
    <n v="10"/>
    <n v="3"/>
    <n v="10"/>
    <n v="5"/>
    <n v="7"/>
    <n v="7"/>
  </r>
  <r>
    <x v="0"/>
    <s v="Non-Travel"/>
    <x v="4"/>
    <s v="Ex-Employees"/>
    <x v="1"/>
    <x v="2"/>
    <x v="892"/>
    <n v="1248"/>
    <x v="0"/>
    <x v="1"/>
    <x v="0"/>
    <s v="Yes"/>
    <s v="Y"/>
    <n v="2"/>
    <n v="-2"/>
    <n v="0"/>
    <x v="37"/>
    <x v="0"/>
    <x v="0"/>
    <n v="1"/>
    <n v="0"/>
    <n v="504"/>
    <n v="10"/>
    <x v="3"/>
    <x v="0"/>
    <n v="1"/>
    <n v="96"/>
    <n v="2"/>
    <n v="1"/>
    <n v="2"/>
    <x v="840"/>
    <n v="6148"/>
    <n v="1"/>
    <n v="25"/>
    <n v="4"/>
    <n v="2"/>
    <n v="80"/>
    <n v="0"/>
    <n v="1"/>
    <n v="4"/>
    <n v="1"/>
    <n v="1"/>
    <n v="0"/>
    <n v="0"/>
  </r>
  <r>
    <x v="1"/>
    <s v="Travel_Rarely"/>
    <x v="2"/>
    <s v="Current Employees"/>
    <x v="1"/>
    <x v="0"/>
    <x v="893"/>
    <n v="1249"/>
    <x v="0"/>
    <x v="1"/>
    <x v="2"/>
    <s v="No"/>
    <s v="Y"/>
    <n v="5"/>
    <n v="-2"/>
    <n v="0"/>
    <x v="11"/>
    <x v="1"/>
    <x v="1"/>
    <n v="0"/>
    <n v="1"/>
    <n v="1010"/>
    <n v="1"/>
    <x v="3"/>
    <x v="0"/>
    <n v="1"/>
    <n v="97"/>
    <n v="3"/>
    <n v="1"/>
    <n v="1"/>
    <x v="841"/>
    <n v="5598"/>
    <n v="1"/>
    <n v="15"/>
    <n v="3"/>
    <n v="1"/>
    <n v="80"/>
    <n v="3"/>
    <n v="3"/>
    <n v="3"/>
    <n v="3"/>
    <n v="2"/>
    <n v="1"/>
    <n v="2"/>
  </r>
  <r>
    <x v="1"/>
    <s v="Travel_Rarely"/>
    <x v="1"/>
    <s v="Current Employees"/>
    <x v="1"/>
    <x v="0"/>
    <x v="894"/>
    <n v="1250"/>
    <x v="1"/>
    <x v="7"/>
    <x v="1"/>
    <s v="No"/>
    <s v="Y"/>
    <n v="2"/>
    <n v="-2"/>
    <n v="0"/>
    <x v="33"/>
    <x v="1"/>
    <x v="1"/>
    <n v="0"/>
    <n v="1"/>
    <n v="685"/>
    <n v="3"/>
    <x v="3"/>
    <x v="0"/>
    <n v="4"/>
    <n v="85"/>
    <n v="3"/>
    <n v="4"/>
    <n v="1"/>
    <x v="842"/>
    <n v="23474"/>
    <n v="3"/>
    <n v="14"/>
    <n v="3"/>
    <n v="1"/>
    <n v="80"/>
    <n v="0"/>
    <n v="36"/>
    <n v="3"/>
    <n v="10"/>
    <n v="9"/>
    <n v="0"/>
    <n v="9"/>
  </r>
  <r>
    <x v="1"/>
    <s v="Travel_Rarely"/>
    <x v="2"/>
    <s v="Current Employees"/>
    <x v="1"/>
    <x v="2"/>
    <x v="895"/>
    <n v="1251"/>
    <x v="1"/>
    <x v="4"/>
    <x v="1"/>
    <s v="Yes"/>
    <s v="Y"/>
    <n v="2"/>
    <n v="-2"/>
    <n v="0"/>
    <x v="12"/>
    <x v="1"/>
    <x v="1"/>
    <n v="0"/>
    <n v="1"/>
    <n v="1332"/>
    <n v="11"/>
    <x v="0"/>
    <x v="0"/>
    <n v="3"/>
    <n v="80"/>
    <n v="3"/>
    <n v="2"/>
    <n v="3"/>
    <x v="843"/>
    <n v="17089"/>
    <n v="1"/>
    <n v="12"/>
    <n v="3"/>
    <n v="4"/>
    <n v="80"/>
    <n v="0"/>
    <n v="6"/>
    <n v="2"/>
    <n v="6"/>
    <n v="5"/>
    <n v="0"/>
    <n v="1"/>
  </r>
  <r>
    <x v="1"/>
    <s v="Travel_Rarely"/>
    <x v="2"/>
    <s v="Current Employees"/>
    <x v="1"/>
    <x v="2"/>
    <x v="896"/>
    <n v="1252"/>
    <x v="0"/>
    <x v="4"/>
    <x v="0"/>
    <s v="No"/>
    <s v="Y"/>
    <n v="2"/>
    <n v="-2"/>
    <n v="0"/>
    <x v="12"/>
    <x v="1"/>
    <x v="1"/>
    <n v="0"/>
    <n v="1"/>
    <n v="1062"/>
    <n v="24"/>
    <x v="3"/>
    <x v="0"/>
    <n v="3"/>
    <n v="96"/>
    <n v="2"/>
    <n v="2"/>
    <n v="3"/>
    <x v="844"/>
    <n v="17198"/>
    <n v="1"/>
    <n v="19"/>
    <n v="3"/>
    <n v="2"/>
    <n v="80"/>
    <n v="0"/>
    <n v="10"/>
    <n v="3"/>
    <n v="10"/>
    <n v="9"/>
    <n v="1"/>
    <n v="8"/>
  </r>
  <r>
    <x v="1"/>
    <s v="Travel_Rarely"/>
    <x v="3"/>
    <s v="Current Employees"/>
    <x v="0"/>
    <x v="0"/>
    <x v="897"/>
    <n v="1254"/>
    <x v="0"/>
    <x v="0"/>
    <x v="0"/>
    <s v="No"/>
    <s v="Y"/>
    <n v="2"/>
    <n v="-2"/>
    <n v="0"/>
    <x v="6"/>
    <x v="1"/>
    <x v="1"/>
    <n v="0"/>
    <n v="1"/>
    <n v="326"/>
    <n v="3"/>
    <x v="3"/>
    <x v="0"/>
    <n v="3"/>
    <n v="48"/>
    <n v="2"/>
    <n v="2"/>
    <n v="1"/>
    <x v="845"/>
    <n v="16490"/>
    <n v="5"/>
    <n v="17"/>
    <n v="3"/>
    <n v="4"/>
    <n v="80"/>
    <n v="0"/>
    <n v="13"/>
    <n v="3"/>
    <n v="6"/>
    <n v="1"/>
    <n v="0"/>
    <n v="5"/>
  </r>
  <r>
    <x v="1"/>
    <s v="Travel_Rarely"/>
    <x v="0"/>
    <s v="Current Employees"/>
    <x v="1"/>
    <x v="0"/>
    <x v="898"/>
    <n v="1255"/>
    <x v="1"/>
    <x v="7"/>
    <x v="1"/>
    <s v="No"/>
    <s v="Y"/>
    <n v="2"/>
    <n v="-2"/>
    <n v="0"/>
    <x v="23"/>
    <x v="1"/>
    <x v="1"/>
    <n v="0"/>
    <n v="1"/>
    <n v="920"/>
    <n v="3"/>
    <x v="3"/>
    <x v="0"/>
    <n v="3"/>
    <n v="96"/>
    <n v="1"/>
    <n v="5"/>
    <n v="1"/>
    <x v="846"/>
    <n v="18625"/>
    <n v="3"/>
    <n v="14"/>
    <n v="3"/>
    <n v="2"/>
    <n v="80"/>
    <n v="1"/>
    <n v="25"/>
    <n v="3"/>
    <n v="8"/>
    <n v="7"/>
    <n v="0"/>
    <n v="7"/>
  </r>
  <r>
    <x v="1"/>
    <s v="Travel_Rarely"/>
    <x v="1"/>
    <s v="Current Employees"/>
    <x v="1"/>
    <x v="2"/>
    <x v="899"/>
    <n v="1256"/>
    <x v="1"/>
    <x v="5"/>
    <x v="1"/>
    <s v="No"/>
    <s v="Y"/>
    <n v="2"/>
    <n v="-2"/>
    <n v="0"/>
    <x v="1"/>
    <x v="1"/>
    <x v="1"/>
    <n v="0"/>
    <n v="1"/>
    <n v="1098"/>
    <n v="4"/>
    <x v="0"/>
    <x v="0"/>
    <n v="1"/>
    <n v="85"/>
    <n v="2"/>
    <n v="5"/>
    <n v="3"/>
    <x v="847"/>
    <n v="12124"/>
    <n v="2"/>
    <n v="13"/>
    <n v="3"/>
    <n v="3"/>
    <n v="80"/>
    <n v="1"/>
    <n v="23"/>
    <n v="4"/>
    <n v="1"/>
    <n v="0"/>
    <n v="0"/>
    <n v="0"/>
  </r>
  <r>
    <x v="1"/>
    <s v="Travel_Frequently"/>
    <x v="0"/>
    <s v="Current Employees"/>
    <x v="1"/>
    <x v="4"/>
    <x v="900"/>
    <n v="1257"/>
    <x v="1"/>
    <x v="1"/>
    <x v="1"/>
    <s v="No"/>
    <s v="Y"/>
    <n v="2"/>
    <n v="-2"/>
    <n v="0"/>
    <x v="9"/>
    <x v="1"/>
    <x v="1"/>
    <n v="0"/>
    <n v="1"/>
    <n v="469"/>
    <n v="3"/>
    <x v="3"/>
    <x v="0"/>
    <n v="4"/>
    <n v="46"/>
    <n v="3"/>
    <n v="1"/>
    <n v="4"/>
    <x v="848"/>
    <n v="9256"/>
    <n v="1"/>
    <n v="12"/>
    <n v="3"/>
    <n v="3"/>
    <n v="80"/>
    <n v="0"/>
    <n v="12"/>
    <n v="2"/>
    <n v="11"/>
    <n v="10"/>
    <n v="0"/>
    <n v="7"/>
  </r>
  <r>
    <x v="1"/>
    <s v="Travel_Rarely"/>
    <x v="1"/>
    <s v="Current Employees"/>
    <x v="1"/>
    <x v="4"/>
    <x v="901"/>
    <n v="1258"/>
    <x v="1"/>
    <x v="2"/>
    <x v="0"/>
    <s v="No"/>
    <s v="Y"/>
    <n v="4"/>
    <n v="-2"/>
    <n v="0"/>
    <x v="26"/>
    <x v="1"/>
    <x v="1"/>
    <n v="0"/>
    <n v="1"/>
    <n v="969"/>
    <n v="2"/>
    <x v="0"/>
    <x v="0"/>
    <n v="4"/>
    <n v="76"/>
    <n v="4"/>
    <n v="1"/>
    <n v="4"/>
    <x v="594"/>
    <n v="16620"/>
    <n v="5"/>
    <n v="11"/>
    <n v="3"/>
    <n v="3"/>
    <n v="80"/>
    <n v="0"/>
    <n v="7"/>
    <n v="2"/>
    <n v="1"/>
    <n v="0"/>
    <n v="0"/>
    <n v="0"/>
  </r>
  <r>
    <x v="1"/>
    <s v="Travel_Rarely"/>
    <x v="2"/>
    <s v="Current Employees"/>
    <x v="1"/>
    <x v="0"/>
    <x v="902"/>
    <n v="1259"/>
    <x v="1"/>
    <x v="1"/>
    <x v="2"/>
    <s v="No"/>
    <s v="Y"/>
    <n v="2"/>
    <n v="-2"/>
    <n v="0"/>
    <x v="4"/>
    <x v="1"/>
    <x v="1"/>
    <n v="0"/>
    <n v="1"/>
    <n v="1167"/>
    <n v="4"/>
    <x v="0"/>
    <x v="0"/>
    <n v="1"/>
    <n v="76"/>
    <n v="3"/>
    <n v="1"/>
    <n v="1"/>
    <x v="849"/>
    <n v="3208"/>
    <n v="1"/>
    <n v="11"/>
    <n v="3"/>
    <n v="2"/>
    <n v="80"/>
    <n v="3"/>
    <n v="5"/>
    <n v="3"/>
    <n v="5"/>
    <n v="3"/>
    <n v="0"/>
    <n v="3"/>
  </r>
  <r>
    <x v="1"/>
    <s v="Travel_Rarely"/>
    <x v="2"/>
    <s v="Current Employees"/>
    <x v="1"/>
    <x v="0"/>
    <x v="903"/>
    <n v="1260"/>
    <x v="1"/>
    <x v="4"/>
    <x v="2"/>
    <s v="Yes"/>
    <s v="Y"/>
    <n v="2"/>
    <n v="-2"/>
    <n v="0"/>
    <x v="11"/>
    <x v="1"/>
    <x v="1"/>
    <n v="0"/>
    <n v="1"/>
    <n v="1329"/>
    <n v="7"/>
    <x v="3"/>
    <x v="0"/>
    <n v="3"/>
    <n v="82"/>
    <n v="3"/>
    <n v="2"/>
    <n v="1"/>
    <x v="850"/>
    <n v="4204"/>
    <n v="1"/>
    <n v="11"/>
    <n v="3"/>
    <n v="2"/>
    <n v="80"/>
    <n v="2"/>
    <n v="6"/>
    <n v="3"/>
    <n v="6"/>
    <n v="0"/>
    <n v="1"/>
    <n v="0"/>
  </r>
  <r>
    <x v="1"/>
    <s v="Travel_Rarely"/>
    <x v="1"/>
    <s v="Current Employees"/>
    <x v="1"/>
    <x v="0"/>
    <x v="904"/>
    <n v="1263"/>
    <x v="1"/>
    <x v="7"/>
    <x v="0"/>
    <s v="No"/>
    <s v="Y"/>
    <n v="3"/>
    <n v="-2"/>
    <n v="0"/>
    <x v="26"/>
    <x v="1"/>
    <x v="1"/>
    <n v="0"/>
    <n v="1"/>
    <n v="715"/>
    <n v="1"/>
    <x v="3"/>
    <x v="0"/>
    <n v="4"/>
    <n v="76"/>
    <n v="2"/>
    <n v="5"/>
    <n v="1"/>
    <x v="851"/>
    <n v="8733"/>
    <n v="6"/>
    <n v="12"/>
    <n v="3"/>
    <n v="3"/>
    <n v="80"/>
    <n v="0"/>
    <n v="25"/>
    <n v="4"/>
    <n v="1"/>
    <n v="0"/>
    <n v="0"/>
    <n v="0"/>
  </r>
  <r>
    <x v="1"/>
    <s v="Travel_Rarely"/>
    <x v="2"/>
    <s v="Current Employees"/>
    <x v="1"/>
    <x v="0"/>
    <x v="905"/>
    <n v="1264"/>
    <x v="0"/>
    <x v="7"/>
    <x v="2"/>
    <s v="No"/>
    <s v="Y"/>
    <n v="2"/>
    <n v="-2"/>
    <n v="0"/>
    <x v="11"/>
    <x v="1"/>
    <x v="1"/>
    <n v="0"/>
    <n v="1"/>
    <n v="694"/>
    <n v="1"/>
    <x v="3"/>
    <x v="0"/>
    <n v="4"/>
    <n v="87"/>
    <n v="2"/>
    <n v="4"/>
    <n v="1"/>
    <x v="852"/>
    <n v="3423"/>
    <n v="3"/>
    <n v="14"/>
    <n v="3"/>
    <n v="2"/>
    <n v="80"/>
    <n v="2"/>
    <n v="9"/>
    <n v="2"/>
    <n v="7"/>
    <n v="7"/>
    <n v="1"/>
    <n v="7"/>
  </r>
  <r>
    <x v="1"/>
    <s v="Travel_Rarely"/>
    <x v="2"/>
    <s v="Current Employees"/>
    <x v="1"/>
    <x v="4"/>
    <x v="906"/>
    <n v="1265"/>
    <x v="0"/>
    <x v="1"/>
    <x v="1"/>
    <s v="No"/>
    <s v="Y"/>
    <n v="5"/>
    <n v="-2"/>
    <n v="0"/>
    <x v="13"/>
    <x v="1"/>
    <x v="1"/>
    <n v="0"/>
    <n v="1"/>
    <n v="1320"/>
    <n v="20"/>
    <x v="3"/>
    <x v="0"/>
    <n v="4"/>
    <n v="89"/>
    <n v="4"/>
    <n v="1"/>
    <n v="4"/>
    <x v="853"/>
    <n v="21643"/>
    <n v="0"/>
    <n v="17"/>
    <n v="3"/>
    <n v="4"/>
    <n v="80"/>
    <n v="0"/>
    <n v="2"/>
    <n v="2"/>
    <n v="1"/>
    <n v="0"/>
    <n v="0"/>
    <n v="0"/>
  </r>
  <r>
    <x v="1"/>
    <s v="Travel_Rarely"/>
    <x v="0"/>
    <s v="Current Employees"/>
    <x v="0"/>
    <x v="3"/>
    <x v="907"/>
    <n v="1267"/>
    <x v="1"/>
    <x v="5"/>
    <x v="1"/>
    <s v="No"/>
    <s v="Y"/>
    <n v="5"/>
    <n v="-2"/>
    <n v="0"/>
    <x v="20"/>
    <x v="1"/>
    <x v="1"/>
    <n v="0"/>
    <n v="1"/>
    <n v="1099"/>
    <n v="5"/>
    <x v="3"/>
    <x v="0"/>
    <n v="2"/>
    <n v="88"/>
    <n v="3"/>
    <n v="5"/>
    <n v="2"/>
    <x v="854"/>
    <n v="8751"/>
    <n v="7"/>
    <n v="11"/>
    <n v="3"/>
    <n v="3"/>
    <n v="80"/>
    <n v="1"/>
    <n v="26"/>
    <n v="3"/>
    <n v="22"/>
    <n v="9"/>
    <n v="3"/>
    <n v="10"/>
  </r>
  <r>
    <x v="1"/>
    <s v="Travel_Rarely"/>
    <x v="2"/>
    <s v="Current Employees"/>
    <x v="0"/>
    <x v="3"/>
    <x v="908"/>
    <n v="1268"/>
    <x v="1"/>
    <x v="0"/>
    <x v="2"/>
    <s v="Yes"/>
    <s v="Y"/>
    <n v="3"/>
    <n v="-2"/>
    <n v="0"/>
    <x v="3"/>
    <x v="1"/>
    <x v="1"/>
    <n v="0"/>
    <n v="1"/>
    <n v="536"/>
    <n v="10"/>
    <x v="4"/>
    <x v="0"/>
    <n v="4"/>
    <n v="82"/>
    <n v="4"/>
    <n v="3"/>
    <n v="2"/>
    <x v="855"/>
    <n v="21708"/>
    <n v="0"/>
    <n v="14"/>
    <n v="3"/>
    <n v="4"/>
    <n v="80"/>
    <n v="2"/>
    <n v="10"/>
    <n v="3"/>
    <n v="9"/>
    <n v="8"/>
    <n v="0"/>
    <n v="8"/>
  </r>
  <r>
    <x v="1"/>
    <s v="Travel_Rarely"/>
    <x v="4"/>
    <s v="Current Employees"/>
    <x v="1"/>
    <x v="0"/>
    <x v="909"/>
    <n v="1269"/>
    <x v="0"/>
    <x v="1"/>
    <x v="0"/>
    <s v="Yes"/>
    <s v="Y"/>
    <n v="2"/>
    <n v="-2"/>
    <n v="0"/>
    <x v="37"/>
    <x v="1"/>
    <x v="1"/>
    <n v="0"/>
    <n v="1"/>
    <n v="265"/>
    <n v="25"/>
    <x v="3"/>
    <x v="0"/>
    <n v="2"/>
    <n v="57"/>
    <n v="4"/>
    <n v="1"/>
    <n v="1"/>
    <x v="856"/>
    <n v="21221"/>
    <n v="1"/>
    <n v="12"/>
    <n v="3"/>
    <n v="4"/>
    <n v="80"/>
    <n v="0"/>
    <n v="1"/>
    <n v="3"/>
    <n v="1"/>
    <n v="0"/>
    <n v="0"/>
    <n v="1"/>
  </r>
  <r>
    <x v="1"/>
    <s v="Travel_Rarely"/>
    <x v="4"/>
    <s v="Current Employees"/>
    <x v="1"/>
    <x v="0"/>
    <x v="910"/>
    <n v="1270"/>
    <x v="1"/>
    <x v="1"/>
    <x v="1"/>
    <s v="No"/>
    <s v="Y"/>
    <n v="2"/>
    <n v="-2"/>
    <n v="0"/>
    <x v="30"/>
    <x v="1"/>
    <x v="1"/>
    <n v="0"/>
    <n v="1"/>
    <n v="373"/>
    <n v="1"/>
    <x v="0"/>
    <x v="0"/>
    <n v="4"/>
    <n v="47"/>
    <n v="3"/>
    <n v="1"/>
    <n v="1"/>
    <x v="857"/>
    <n v="16901"/>
    <n v="1"/>
    <n v="22"/>
    <n v="4"/>
    <n v="4"/>
    <n v="80"/>
    <n v="1"/>
    <n v="1"/>
    <n v="3"/>
    <n v="1"/>
    <n v="0"/>
    <n v="0"/>
    <n v="1"/>
  </r>
  <r>
    <x v="0"/>
    <s v="Travel_Frequently"/>
    <x v="2"/>
    <s v="Ex-Employees"/>
    <x v="0"/>
    <x v="0"/>
    <x v="911"/>
    <n v="1273"/>
    <x v="1"/>
    <x v="6"/>
    <x v="0"/>
    <s v="Yes"/>
    <s v="Y"/>
    <n v="4"/>
    <n v="-2"/>
    <n v="0"/>
    <x v="36"/>
    <x v="0"/>
    <x v="0"/>
    <n v="1"/>
    <n v="0"/>
    <n v="599"/>
    <n v="24"/>
    <x v="1"/>
    <x v="0"/>
    <n v="3"/>
    <n v="73"/>
    <n v="1"/>
    <n v="1"/>
    <n v="1"/>
    <x v="858"/>
    <n v="8040"/>
    <n v="1"/>
    <n v="14"/>
    <n v="3"/>
    <n v="4"/>
    <n v="80"/>
    <n v="0"/>
    <n v="1"/>
    <n v="3"/>
    <n v="1"/>
    <n v="0"/>
    <n v="1"/>
    <n v="0"/>
  </r>
  <r>
    <x v="1"/>
    <s v="Travel_Rarely"/>
    <x v="2"/>
    <s v="Current Employees"/>
    <x v="1"/>
    <x v="0"/>
    <x v="912"/>
    <n v="1275"/>
    <x v="1"/>
    <x v="1"/>
    <x v="0"/>
    <s v="Yes"/>
    <s v="Y"/>
    <n v="2"/>
    <n v="-2"/>
    <n v="0"/>
    <x v="25"/>
    <x v="1"/>
    <x v="1"/>
    <n v="0"/>
    <n v="1"/>
    <n v="583"/>
    <n v="4"/>
    <x v="0"/>
    <x v="0"/>
    <n v="3"/>
    <n v="53"/>
    <n v="3"/>
    <n v="1"/>
    <n v="1"/>
    <x v="859"/>
    <n v="9973"/>
    <n v="1"/>
    <n v="20"/>
    <n v="4"/>
    <n v="2"/>
    <n v="80"/>
    <n v="0"/>
    <n v="8"/>
    <n v="2"/>
    <n v="8"/>
    <n v="5"/>
    <n v="2"/>
    <n v="2"/>
  </r>
  <r>
    <x v="0"/>
    <s v="Travel_Rarely"/>
    <x v="1"/>
    <s v="Ex-Employees"/>
    <x v="0"/>
    <x v="3"/>
    <x v="913"/>
    <n v="1277"/>
    <x v="0"/>
    <x v="5"/>
    <x v="0"/>
    <s v="Yes"/>
    <s v="Y"/>
    <n v="2"/>
    <n v="-2"/>
    <n v="0"/>
    <x v="28"/>
    <x v="0"/>
    <x v="0"/>
    <n v="1"/>
    <n v="0"/>
    <n v="1449"/>
    <n v="2"/>
    <x v="3"/>
    <x v="0"/>
    <n v="1"/>
    <n v="94"/>
    <n v="1"/>
    <n v="5"/>
    <n v="2"/>
    <x v="860"/>
    <n v="2493"/>
    <n v="2"/>
    <n v="16"/>
    <n v="3"/>
    <n v="1"/>
    <n v="80"/>
    <n v="0"/>
    <n v="26"/>
    <n v="3"/>
    <n v="24"/>
    <n v="10"/>
    <n v="1"/>
    <n v="11"/>
  </r>
  <r>
    <x v="1"/>
    <s v="Non-Travel"/>
    <x v="3"/>
    <s v="Current Employees"/>
    <x v="1"/>
    <x v="2"/>
    <x v="914"/>
    <n v="1278"/>
    <x v="1"/>
    <x v="4"/>
    <x v="2"/>
    <s v="Yes"/>
    <s v="Y"/>
    <n v="3"/>
    <n v="-2"/>
    <n v="0"/>
    <x v="27"/>
    <x v="1"/>
    <x v="1"/>
    <n v="0"/>
    <n v="1"/>
    <n v="177"/>
    <n v="8"/>
    <x v="1"/>
    <x v="0"/>
    <n v="4"/>
    <n v="37"/>
    <n v="2"/>
    <n v="4"/>
    <n v="2"/>
    <x v="861"/>
    <n v="25592"/>
    <n v="1"/>
    <n v="15"/>
    <n v="3"/>
    <n v="4"/>
    <n v="80"/>
    <n v="1"/>
    <n v="34"/>
    <n v="3"/>
    <n v="33"/>
    <n v="9"/>
    <n v="15"/>
    <n v="0"/>
  </r>
  <r>
    <x v="0"/>
    <s v="Travel_Frequently"/>
    <x v="4"/>
    <s v="Ex-Employees"/>
    <x v="1"/>
    <x v="0"/>
    <x v="915"/>
    <n v="1279"/>
    <x v="0"/>
    <x v="2"/>
    <x v="0"/>
    <s v="No"/>
    <s v="Y"/>
    <n v="2"/>
    <n v="-2"/>
    <n v="0"/>
    <x v="18"/>
    <x v="0"/>
    <x v="0"/>
    <n v="1"/>
    <n v="0"/>
    <n v="251"/>
    <n v="10"/>
    <x v="0"/>
    <x v="0"/>
    <n v="1"/>
    <n v="45"/>
    <n v="2"/>
    <n v="1"/>
    <n v="1"/>
    <x v="862"/>
    <n v="25308"/>
    <n v="1"/>
    <n v="20"/>
    <n v="4"/>
    <n v="3"/>
    <n v="80"/>
    <n v="0"/>
    <n v="2"/>
    <n v="1"/>
    <n v="2"/>
    <n v="2"/>
    <n v="2"/>
    <n v="2"/>
  </r>
  <r>
    <x v="1"/>
    <s v="Travel_Rarely"/>
    <x v="1"/>
    <s v="Current Employees"/>
    <x v="0"/>
    <x v="3"/>
    <x v="916"/>
    <n v="1280"/>
    <x v="0"/>
    <x v="5"/>
    <x v="1"/>
    <s v="No"/>
    <s v="Y"/>
    <n v="2"/>
    <n v="-2"/>
    <n v="0"/>
    <x v="21"/>
    <x v="1"/>
    <x v="1"/>
    <n v="0"/>
    <n v="1"/>
    <n v="168"/>
    <n v="4"/>
    <x v="0"/>
    <x v="0"/>
    <n v="4"/>
    <n v="33"/>
    <n v="2"/>
    <n v="5"/>
    <n v="2"/>
    <x v="863"/>
    <n v="9946"/>
    <n v="2"/>
    <n v="14"/>
    <n v="3"/>
    <n v="3"/>
    <n v="80"/>
    <n v="1"/>
    <n v="26"/>
    <n v="3"/>
    <n v="11"/>
    <n v="4"/>
    <n v="0"/>
    <n v="8"/>
  </r>
  <r>
    <x v="1"/>
    <s v="Travel_Rarely"/>
    <x v="2"/>
    <s v="Current Employees"/>
    <x v="0"/>
    <x v="3"/>
    <x v="917"/>
    <n v="1281"/>
    <x v="0"/>
    <x v="0"/>
    <x v="0"/>
    <s v="Yes"/>
    <s v="Y"/>
    <n v="3"/>
    <n v="-2"/>
    <n v="0"/>
    <x v="13"/>
    <x v="1"/>
    <x v="1"/>
    <n v="0"/>
    <n v="1"/>
    <n v="131"/>
    <n v="2"/>
    <x v="3"/>
    <x v="0"/>
    <n v="3"/>
    <n v="86"/>
    <n v="3"/>
    <n v="2"/>
    <n v="2"/>
    <x v="864"/>
    <n v="6039"/>
    <n v="0"/>
    <n v="12"/>
    <n v="3"/>
    <n v="4"/>
    <n v="80"/>
    <n v="0"/>
    <n v="4"/>
    <n v="3"/>
    <n v="3"/>
    <n v="2"/>
    <n v="0"/>
    <n v="2"/>
  </r>
  <r>
    <x v="1"/>
    <s v="Travel_Frequently"/>
    <x v="1"/>
    <s v="Current Employees"/>
    <x v="0"/>
    <x v="0"/>
    <x v="918"/>
    <n v="1282"/>
    <x v="1"/>
    <x v="5"/>
    <x v="2"/>
    <s v="Yes"/>
    <s v="Y"/>
    <n v="5"/>
    <n v="-2"/>
    <n v="0"/>
    <x v="31"/>
    <x v="1"/>
    <x v="1"/>
    <n v="0"/>
    <n v="1"/>
    <n v="237"/>
    <n v="9"/>
    <x v="3"/>
    <x v="0"/>
    <n v="4"/>
    <n v="83"/>
    <n v="3"/>
    <n v="5"/>
    <n v="1"/>
    <x v="865"/>
    <n v="19196"/>
    <n v="4"/>
    <n v="24"/>
    <n v="4"/>
    <n v="1"/>
    <n v="80"/>
    <n v="1"/>
    <n v="31"/>
    <n v="2"/>
    <n v="29"/>
    <n v="10"/>
    <n v="11"/>
    <n v="10"/>
  </r>
  <r>
    <x v="1"/>
    <s v="Travel_Rarely"/>
    <x v="3"/>
    <s v="Current Employees"/>
    <x v="1"/>
    <x v="2"/>
    <x v="919"/>
    <n v="1283"/>
    <x v="1"/>
    <x v="3"/>
    <x v="0"/>
    <s v="No"/>
    <s v="Y"/>
    <n v="6"/>
    <n v="-2"/>
    <n v="0"/>
    <x v="6"/>
    <x v="1"/>
    <x v="1"/>
    <n v="0"/>
    <n v="1"/>
    <n v="1429"/>
    <n v="18"/>
    <x v="2"/>
    <x v="0"/>
    <n v="4"/>
    <n v="67"/>
    <n v="3"/>
    <n v="3"/>
    <n v="4"/>
    <x v="866"/>
    <n v="20002"/>
    <n v="6"/>
    <n v="12"/>
    <n v="3"/>
    <n v="4"/>
    <n v="80"/>
    <n v="0"/>
    <n v="25"/>
    <n v="2"/>
    <n v="9"/>
    <n v="7"/>
    <n v="5"/>
    <n v="4"/>
  </r>
  <r>
    <x v="1"/>
    <s v="Travel_Frequently"/>
    <x v="2"/>
    <s v="Current Employees"/>
    <x v="1"/>
    <x v="2"/>
    <x v="920"/>
    <n v="1285"/>
    <x v="0"/>
    <x v="2"/>
    <x v="2"/>
    <s v="No"/>
    <s v="Y"/>
    <n v="2"/>
    <n v="-2"/>
    <n v="0"/>
    <x v="13"/>
    <x v="1"/>
    <x v="1"/>
    <n v="0"/>
    <n v="1"/>
    <n v="135"/>
    <n v="19"/>
    <x v="3"/>
    <x v="0"/>
    <n v="3"/>
    <n v="46"/>
    <n v="3"/>
    <n v="2"/>
    <n v="2"/>
    <x v="867"/>
    <n v="22534"/>
    <n v="4"/>
    <n v="13"/>
    <n v="3"/>
    <n v="3"/>
    <n v="80"/>
    <n v="2"/>
    <n v="15"/>
    <n v="4"/>
    <n v="11"/>
    <n v="8"/>
    <n v="5"/>
    <n v="10"/>
  </r>
  <r>
    <x v="1"/>
    <s v="Travel_Frequently"/>
    <x v="2"/>
    <s v="Current Employees"/>
    <x v="1"/>
    <x v="2"/>
    <x v="921"/>
    <n v="1286"/>
    <x v="1"/>
    <x v="2"/>
    <x v="0"/>
    <s v="Yes"/>
    <s v="Y"/>
    <n v="2"/>
    <n v="-2"/>
    <n v="0"/>
    <x v="14"/>
    <x v="1"/>
    <x v="1"/>
    <n v="0"/>
    <n v="1"/>
    <n v="791"/>
    <n v="1"/>
    <x v="2"/>
    <x v="0"/>
    <n v="4"/>
    <n v="44"/>
    <n v="3"/>
    <n v="1"/>
    <n v="3"/>
    <x v="868"/>
    <n v="6842"/>
    <n v="0"/>
    <n v="11"/>
    <n v="3"/>
    <n v="3"/>
    <n v="80"/>
    <n v="0"/>
    <n v="5"/>
    <n v="2"/>
    <n v="4"/>
    <n v="2"/>
    <n v="0"/>
    <n v="2"/>
  </r>
  <r>
    <x v="1"/>
    <s v="Travel_Rarely"/>
    <x v="0"/>
    <s v="Current Employees"/>
    <x v="1"/>
    <x v="0"/>
    <x v="922"/>
    <n v="1288"/>
    <x v="1"/>
    <x v="5"/>
    <x v="2"/>
    <s v="No"/>
    <s v="Y"/>
    <n v="4"/>
    <n v="-2"/>
    <n v="0"/>
    <x v="20"/>
    <x v="1"/>
    <x v="1"/>
    <n v="0"/>
    <n v="1"/>
    <n v="1199"/>
    <n v="4"/>
    <x v="0"/>
    <x v="0"/>
    <n v="3"/>
    <n v="92"/>
    <n v="4"/>
    <n v="5"/>
    <n v="3"/>
    <x v="869"/>
    <n v="17477"/>
    <n v="1"/>
    <n v="14"/>
    <n v="3"/>
    <n v="4"/>
    <n v="80"/>
    <n v="2"/>
    <n v="26"/>
    <n v="2"/>
    <n v="25"/>
    <n v="9"/>
    <n v="14"/>
    <n v="13"/>
  </r>
  <r>
    <x v="1"/>
    <s v="Travel_Frequently"/>
    <x v="2"/>
    <s v="Current Employees"/>
    <x v="2"/>
    <x v="0"/>
    <x v="923"/>
    <n v="1289"/>
    <x v="1"/>
    <x v="8"/>
    <x v="1"/>
    <s v="No"/>
    <s v="Y"/>
    <n v="5"/>
    <n v="-2"/>
    <n v="0"/>
    <x v="13"/>
    <x v="1"/>
    <x v="1"/>
    <n v="0"/>
    <n v="1"/>
    <n v="648"/>
    <n v="11"/>
    <x v="3"/>
    <x v="0"/>
    <n v="3"/>
    <n v="56"/>
    <n v="2"/>
    <n v="2"/>
    <n v="2"/>
    <x v="870"/>
    <n v="21833"/>
    <n v="4"/>
    <n v="11"/>
    <n v="3"/>
    <n v="4"/>
    <n v="80"/>
    <n v="2"/>
    <n v="14"/>
    <n v="4"/>
    <n v="10"/>
    <n v="9"/>
    <n v="1"/>
    <n v="8"/>
  </r>
  <r>
    <x v="1"/>
    <s v="Travel_Rarely"/>
    <x v="0"/>
    <s v="Current Employees"/>
    <x v="1"/>
    <x v="0"/>
    <x v="924"/>
    <n v="1291"/>
    <x v="1"/>
    <x v="1"/>
    <x v="1"/>
    <s v="Yes"/>
    <s v="Y"/>
    <n v="3"/>
    <n v="-2"/>
    <n v="0"/>
    <x v="10"/>
    <x v="1"/>
    <x v="1"/>
    <n v="0"/>
    <n v="1"/>
    <n v="735"/>
    <n v="6"/>
    <x v="1"/>
    <x v="0"/>
    <n v="3"/>
    <n v="66"/>
    <n v="3"/>
    <n v="1"/>
    <n v="3"/>
    <x v="871"/>
    <n v="6020"/>
    <n v="0"/>
    <n v="14"/>
    <n v="3"/>
    <n v="4"/>
    <n v="80"/>
    <n v="0"/>
    <n v="4"/>
    <n v="3"/>
    <n v="3"/>
    <n v="2"/>
    <n v="2"/>
    <n v="2"/>
  </r>
  <r>
    <x v="1"/>
    <s v="Travel_Rarely"/>
    <x v="0"/>
    <s v="Current Employees"/>
    <x v="1"/>
    <x v="2"/>
    <x v="925"/>
    <n v="1292"/>
    <x v="0"/>
    <x v="1"/>
    <x v="1"/>
    <s v="Yes"/>
    <s v="Y"/>
    <n v="2"/>
    <n v="-2"/>
    <n v="0"/>
    <x v="19"/>
    <x v="1"/>
    <x v="1"/>
    <n v="0"/>
    <n v="1"/>
    <n v="603"/>
    <n v="7"/>
    <x v="2"/>
    <x v="0"/>
    <n v="2"/>
    <n v="78"/>
    <n v="4"/>
    <n v="2"/>
    <n v="2"/>
    <x v="872"/>
    <n v="5628"/>
    <n v="6"/>
    <n v="16"/>
    <n v="3"/>
    <n v="4"/>
    <n v="80"/>
    <n v="0"/>
    <n v="18"/>
    <n v="3"/>
    <n v="1"/>
    <n v="0"/>
    <n v="0"/>
    <n v="0"/>
  </r>
  <r>
    <x v="1"/>
    <s v="Travel_Rarely"/>
    <x v="0"/>
    <s v="Current Employees"/>
    <x v="0"/>
    <x v="3"/>
    <x v="926"/>
    <n v="1293"/>
    <x v="0"/>
    <x v="0"/>
    <x v="0"/>
    <s v="No"/>
    <s v="Y"/>
    <n v="3"/>
    <n v="-2"/>
    <n v="0"/>
    <x v="23"/>
    <x v="1"/>
    <x v="1"/>
    <n v="0"/>
    <n v="1"/>
    <n v="531"/>
    <n v="4"/>
    <x v="2"/>
    <x v="0"/>
    <n v="4"/>
    <n v="56"/>
    <n v="2"/>
    <n v="3"/>
    <n v="2"/>
    <x v="873"/>
    <n v="20364"/>
    <n v="3"/>
    <n v="14"/>
    <n v="3"/>
    <n v="4"/>
    <n v="80"/>
    <n v="0"/>
    <n v="23"/>
    <n v="4"/>
    <n v="21"/>
    <n v="7"/>
    <n v="15"/>
    <n v="17"/>
  </r>
  <r>
    <x v="1"/>
    <s v="Travel_Rarely"/>
    <x v="0"/>
    <s v="Current Employees"/>
    <x v="1"/>
    <x v="0"/>
    <x v="927"/>
    <n v="1294"/>
    <x v="0"/>
    <x v="3"/>
    <x v="0"/>
    <s v="Yes"/>
    <s v="Y"/>
    <n v="2"/>
    <n v="-2"/>
    <n v="0"/>
    <x v="9"/>
    <x v="1"/>
    <x v="1"/>
    <n v="0"/>
    <n v="1"/>
    <n v="429"/>
    <n v="2"/>
    <x v="2"/>
    <x v="0"/>
    <n v="3"/>
    <n v="53"/>
    <n v="3"/>
    <n v="2"/>
    <n v="2"/>
    <x v="874"/>
    <n v="2323"/>
    <n v="9"/>
    <n v="11"/>
    <n v="3"/>
    <n v="4"/>
    <n v="80"/>
    <n v="0"/>
    <n v="18"/>
    <n v="3"/>
    <n v="16"/>
    <n v="14"/>
    <n v="5"/>
    <n v="12"/>
  </r>
  <r>
    <x v="0"/>
    <s v="Travel_Rarely"/>
    <x v="0"/>
    <s v="Ex-Employees"/>
    <x v="1"/>
    <x v="2"/>
    <x v="928"/>
    <n v="1295"/>
    <x v="0"/>
    <x v="4"/>
    <x v="1"/>
    <s v="No"/>
    <s v="Y"/>
    <n v="2"/>
    <n v="-2"/>
    <n v="0"/>
    <x v="20"/>
    <x v="0"/>
    <x v="0"/>
    <n v="1"/>
    <n v="0"/>
    <n v="621"/>
    <n v="15"/>
    <x v="3"/>
    <x v="0"/>
    <n v="1"/>
    <n v="73"/>
    <n v="3"/>
    <n v="3"/>
    <n v="4"/>
    <x v="875"/>
    <n v="14075"/>
    <n v="1"/>
    <n v="11"/>
    <n v="3"/>
    <n v="4"/>
    <n v="80"/>
    <n v="1"/>
    <n v="10"/>
    <n v="3"/>
    <n v="10"/>
    <n v="7"/>
    <n v="0"/>
    <n v="5"/>
  </r>
  <r>
    <x v="1"/>
    <s v="Travel_Frequently"/>
    <x v="2"/>
    <s v="Current Employees"/>
    <x v="1"/>
    <x v="0"/>
    <x v="929"/>
    <n v="1296"/>
    <x v="1"/>
    <x v="2"/>
    <x v="1"/>
    <s v="Yes"/>
    <s v="Y"/>
    <n v="2"/>
    <n v="-2"/>
    <n v="0"/>
    <x v="14"/>
    <x v="1"/>
    <x v="1"/>
    <n v="0"/>
    <n v="1"/>
    <n v="193"/>
    <n v="2"/>
    <x v="3"/>
    <x v="0"/>
    <n v="4"/>
    <n v="52"/>
    <n v="2"/>
    <n v="1"/>
    <n v="4"/>
    <x v="876"/>
    <n v="14222"/>
    <n v="1"/>
    <n v="12"/>
    <n v="3"/>
    <n v="2"/>
    <n v="80"/>
    <n v="1"/>
    <n v="2"/>
    <n v="3"/>
    <n v="2"/>
    <n v="2"/>
    <n v="2"/>
    <n v="2"/>
  </r>
  <r>
    <x v="1"/>
    <s v="Travel_Frequently"/>
    <x v="1"/>
    <s v="Current Employees"/>
    <x v="1"/>
    <x v="2"/>
    <x v="930"/>
    <n v="1297"/>
    <x v="0"/>
    <x v="2"/>
    <x v="0"/>
    <s v="No"/>
    <s v="Y"/>
    <n v="6"/>
    <n v="-2"/>
    <n v="0"/>
    <x v="31"/>
    <x v="1"/>
    <x v="1"/>
    <n v="0"/>
    <n v="1"/>
    <n v="968"/>
    <n v="6"/>
    <x v="0"/>
    <x v="0"/>
    <n v="2"/>
    <n v="40"/>
    <n v="2"/>
    <n v="1"/>
    <n v="3"/>
    <x v="877"/>
    <n v="4257"/>
    <n v="0"/>
    <n v="14"/>
    <n v="3"/>
    <n v="2"/>
    <n v="80"/>
    <n v="0"/>
    <n v="8"/>
    <n v="2"/>
    <n v="7"/>
    <n v="0"/>
    <n v="7"/>
    <n v="7"/>
  </r>
  <r>
    <x v="1"/>
    <s v="Non-Travel"/>
    <x v="2"/>
    <s v="Current Employees"/>
    <x v="1"/>
    <x v="2"/>
    <x v="931"/>
    <n v="1298"/>
    <x v="0"/>
    <x v="3"/>
    <x v="0"/>
    <s v="Yes"/>
    <s v="Y"/>
    <n v="3"/>
    <n v="-2"/>
    <n v="0"/>
    <x v="7"/>
    <x v="1"/>
    <x v="1"/>
    <n v="0"/>
    <n v="1"/>
    <n v="879"/>
    <n v="9"/>
    <x v="0"/>
    <x v="0"/>
    <n v="3"/>
    <n v="72"/>
    <n v="3"/>
    <n v="2"/>
    <n v="3"/>
    <x v="878"/>
    <n v="12858"/>
    <n v="7"/>
    <n v="18"/>
    <n v="3"/>
    <n v="3"/>
    <n v="80"/>
    <n v="0"/>
    <n v="10"/>
    <n v="3"/>
    <n v="8"/>
    <n v="4"/>
    <n v="1"/>
    <n v="7"/>
  </r>
  <r>
    <x v="0"/>
    <s v="Travel_Rarely"/>
    <x v="2"/>
    <s v="Ex-Employees"/>
    <x v="1"/>
    <x v="4"/>
    <x v="932"/>
    <n v="1299"/>
    <x v="0"/>
    <x v="2"/>
    <x v="2"/>
    <s v="Yes"/>
    <s v="Y"/>
    <n v="2"/>
    <n v="-2"/>
    <n v="0"/>
    <x v="11"/>
    <x v="0"/>
    <x v="0"/>
    <n v="1"/>
    <n v="0"/>
    <n v="806"/>
    <n v="7"/>
    <x v="3"/>
    <x v="0"/>
    <n v="4"/>
    <n v="39"/>
    <n v="3"/>
    <n v="1"/>
    <n v="4"/>
    <x v="879"/>
    <n v="17285"/>
    <n v="3"/>
    <n v="13"/>
    <n v="3"/>
    <n v="1"/>
    <n v="80"/>
    <n v="2"/>
    <n v="10"/>
    <n v="3"/>
    <n v="7"/>
    <n v="7"/>
    <n v="7"/>
    <n v="7"/>
  </r>
  <r>
    <x v="1"/>
    <s v="Travel_Rarely"/>
    <x v="2"/>
    <s v="Current Employees"/>
    <x v="1"/>
    <x v="4"/>
    <x v="933"/>
    <n v="1301"/>
    <x v="1"/>
    <x v="1"/>
    <x v="0"/>
    <s v="No"/>
    <s v="Y"/>
    <n v="2"/>
    <n v="-2"/>
    <n v="0"/>
    <x v="14"/>
    <x v="1"/>
    <x v="1"/>
    <n v="0"/>
    <n v="1"/>
    <n v="640"/>
    <n v="1"/>
    <x v="3"/>
    <x v="0"/>
    <n v="4"/>
    <n v="84"/>
    <n v="3"/>
    <n v="1"/>
    <n v="4"/>
    <x v="880"/>
    <n v="4732"/>
    <n v="2"/>
    <n v="11"/>
    <n v="3"/>
    <n v="2"/>
    <n v="80"/>
    <n v="0"/>
    <n v="5"/>
    <n v="2"/>
    <n v="3"/>
    <n v="2"/>
    <n v="1"/>
    <n v="2"/>
  </r>
  <r>
    <x v="1"/>
    <s v="Travel_Rarely"/>
    <x v="2"/>
    <s v="Current Employees"/>
    <x v="1"/>
    <x v="2"/>
    <x v="934"/>
    <n v="1303"/>
    <x v="0"/>
    <x v="1"/>
    <x v="0"/>
    <s v="No"/>
    <s v="Y"/>
    <n v="3"/>
    <n v="-2"/>
    <n v="0"/>
    <x v="36"/>
    <x v="1"/>
    <x v="1"/>
    <n v="0"/>
    <n v="1"/>
    <n v="266"/>
    <n v="1"/>
    <x v="3"/>
    <x v="0"/>
    <n v="4"/>
    <n v="40"/>
    <n v="3"/>
    <n v="1"/>
    <n v="2"/>
    <x v="461"/>
    <n v="18830"/>
    <n v="1"/>
    <n v="18"/>
    <n v="3"/>
    <n v="4"/>
    <n v="80"/>
    <n v="0"/>
    <n v="2"/>
    <n v="2"/>
    <n v="2"/>
    <n v="2"/>
    <n v="2"/>
    <n v="1"/>
  </r>
  <r>
    <x v="1"/>
    <s v="Travel_Rarely"/>
    <x v="2"/>
    <s v="Current Employees"/>
    <x v="0"/>
    <x v="2"/>
    <x v="935"/>
    <n v="1304"/>
    <x v="1"/>
    <x v="0"/>
    <x v="1"/>
    <s v="No"/>
    <s v="Y"/>
    <n v="4"/>
    <n v="-2"/>
    <n v="0"/>
    <x v="5"/>
    <x v="1"/>
    <x v="1"/>
    <n v="0"/>
    <n v="1"/>
    <n v="604"/>
    <n v="8"/>
    <x v="3"/>
    <x v="0"/>
    <n v="3"/>
    <n v="56"/>
    <n v="4"/>
    <n v="2"/>
    <n v="4"/>
    <x v="881"/>
    <n v="11693"/>
    <n v="1"/>
    <n v="15"/>
    <n v="3"/>
    <n v="3"/>
    <n v="80"/>
    <n v="2"/>
    <n v="10"/>
    <n v="4"/>
    <n v="10"/>
    <n v="7"/>
    <n v="0"/>
    <n v="8"/>
  </r>
  <r>
    <x v="1"/>
    <s v="Travel_Frequently"/>
    <x v="1"/>
    <s v="Current Employees"/>
    <x v="1"/>
    <x v="2"/>
    <x v="936"/>
    <n v="1306"/>
    <x v="0"/>
    <x v="5"/>
    <x v="0"/>
    <s v="No"/>
    <s v="Y"/>
    <n v="4"/>
    <n v="-2"/>
    <n v="0"/>
    <x v="28"/>
    <x v="1"/>
    <x v="1"/>
    <n v="0"/>
    <n v="1"/>
    <n v="364"/>
    <n v="25"/>
    <x v="3"/>
    <x v="0"/>
    <n v="2"/>
    <n v="83"/>
    <n v="3"/>
    <n v="5"/>
    <n v="2"/>
    <x v="882"/>
    <n v="13035"/>
    <n v="3"/>
    <n v="22"/>
    <n v="4"/>
    <n v="3"/>
    <n v="80"/>
    <n v="0"/>
    <n v="22"/>
    <n v="3"/>
    <n v="0"/>
    <n v="0"/>
    <n v="0"/>
    <n v="0"/>
  </r>
  <r>
    <x v="1"/>
    <s v="Travel_Rarely"/>
    <x v="0"/>
    <s v="Current Employees"/>
    <x v="1"/>
    <x v="2"/>
    <x v="937"/>
    <n v="1307"/>
    <x v="0"/>
    <x v="5"/>
    <x v="2"/>
    <s v="Yes"/>
    <s v="Y"/>
    <n v="4"/>
    <n v="-2"/>
    <n v="0"/>
    <x v="22"/>
    <x v="1"/>
    <x v="1"/>
    <n v="0"/>
    <n v="1"/>
    <n v="412"/>
    <n v="13"/>
    <x v="2"/>
    <x v="0"/>
    <n v="3"/>
    <n v="94"/>
    <n v="2"/>
    <n v="4"/>
    <n v="2"/>
    <x v="883"/>
    <n v="17334"/>
    <n v="6"/>
    <n v="13"/>
    <n v="3"/>
    <n v="4"/>
    <n v="80"/>
    <n v="2"/>
    <n v="21"/>
    <n v="3"/>
    <n v="19"/>
    <n v="9"/>
    <n v="15"/>
    <n v="2"/>
  </r>
  <r>
    <x v="1"/>
    <s v="Travel_Rarely"/>
    <x v="3"/>
    <s v="Current Employees"/>
    <x v="1"/>
    <x v="0"/>
    <x v="938"/>
    <n v="1308"/>
    <x v="1"/>
    <x v="1"/>
    <x v="2"/>
    <s v="No"/>
    <s v="Y"/>
    <n v="3"/>
    <n v="-2"/>
    <n v="0"/>
    <x v="34"/>
    <x v="1"/>
    <x v="1"/>
    <n v="0"/>
    <n v="1"/>
    <n v="848"/>
    <n v="23"/>
    <x v="2"/>
    <x v="0"/>
    <n v="1"/>
    <n v="88"/>
    <n v="3"/>
    <n v="1"/>
    <n v="3"/>
    <x v="872"/>
    <n v="26076"/>
    <n v="1"/>
    <n v="12"/>
    <n v="3"/>
    <n v="4"/>
    <n v="80"/>
    <n v="2"/>
    <n v="2"/>
    <n v="3"/>
    <n v="2"/>
    <n v="2"/>
    <n v="2"/>
    <n v="2"/>
  </r>
  <r>
    <x v="0"/>
    <s v="Travel_Rarely"/>
    <x v="2"/>
    <s v="Ex-Employees"/>
    <x v="1"/>
    <x v="0"/>
    <x v="939"/>
    <n v="1309"/>
    <x v="1"/>
    <x v="2"/>
    <x v="1"/>
    <s v="No"/>
    <s v="Y"/>
    <n v="3"/>
    <n v="-2"/>
    <n v="0"/>
    <x v="5"/>
    <x v="0"/>
    <x v="0"/>
    <n v="1"/>
    <n v="0"/>
    <n v="1089"/>
    <n v="7"/>
    <x v="0"/>
    <x v="0"/>
    <n v="4"/>
    <n v="79"/>
    <n v="3"/>
    <n v="2"/>
    <n v="3"/>
    <x v="884"/>
    <n v="22845"/>
    <n v="1"/>
    <n v="18"/>
    <n v="3"/>
    <n v="1"/>
    <n v="80"/>
    <n v="1"/>
    <n v="10"/>
    <n v="3"/>
    <n v="10"/>
    <n v="4"/>
    <n v="1"/>
    <n v="1"/>
  </r>
  <r>
    <x v="0"/>
    <s v="Travel_Rarely"/>
    <x v="0"/>
    <s v="Ex-Employees"/>
    <x v="1"/>
    <x v="2"/>
    <x v="940"/>
    <n v="1310"/>
    <x v="1"/>
    <x v="1"/>
    <x v="0"/>
    <s v="No"/>
    <s v="Y"/>
    <n v="2"/>
    <n v="-2"/>
    <n v="0"/>
    <x v="22"/>
    <x v="0"/>
    <x v="0"/>
    <n v="1"/>
    <n v="0"/>
    <n v="360"/>
    <n v="23"/>
    <x v="3"/>
    <x v="0"/>
    <n v="3"/>
    <n v="93"/>
    <n v="3"/>
    <n v="1"/>
    <n v="3"/>
    <x v="885"/>
    <n v="22154"/>
    <n v="0"/>
    <n v="13"/>
    <n v="3"/>
    <n v="1"/>
    <n v="80"/>
    <n v="0"/>
    <n v="6"/>
    <n v="3"/>
    <n v="5"/>
    <n v="2"/>
    <n v="0"/>
    <n v="3"/>
  </r>
  <r>
    <x v="1"/>
    <s v="Travel_Rarely"/>
    <x v="2"/>
    <s v="Current Employees"/>
    <x v="1"/>
    <x v="4"/>
    <x v="941"/>
    <n v="1311"/>
    <x v="0"/>
    <x v="2"/>
    <x v="1"/>
    <s v="No"/>
    <s v="Y"/>
    <n v="6"/>
    <n v="-2"/>
    <n v="0"/>
    <x v="7"/>
    <x v="1"/>
    <x v="1"/>
    <n v="0"/>
    <n v="1"/>
    <n v="1138"/>
    <n v="6"/>
    <x v="3"/>
    <x v="0"/>
    <n v="4"/>
    <n v="48"/>
    <n v="2"/>
    <n v="2"/>
    <n v="4"/>
    <x v="886"/>
    <n v="23631"/>
    <n v="0"/>
    <n v="12"/>
    <n v="3"/>
    <n v="1"/>
    <n v="80"/>
    <n v="1"/>
    <n v="10"/>
    <n v="3"/>
    <n v="9"/>
    <n v="2"/>
    <n v="6"/>
    <n v="7"/>
  </r>
  <r>
    <x v="1"/>
    <s v="Travel_Rarely"/>
    <x v="0"/>
    <s v="Current Employees"/>
    <x v="1"/>
    <x v="4"/>
    <x v="942"/>
    <n v="1312"/>
    <x v="0"/>
    <x v="4"/>
    <x v="1"/>
    <s v="No"/>
    <s v="Y"/>
    <n v="0"/>
    <n v="-2"/>
    <n v="0"/>
    <x v="9"/>
    <x v="1"/>
    <x v="1"/>
    <n v="0"/>
    <n v="1"/>
    <n v="325"/>
    <n v="10"/>
    <x v="2"/>
    <x v="0"/>
    <n v="4"/>
    <n v="63"/>
    <n v="3"/>
    <n v="3"/>
    <n v="4"/>
    <x v="887"/>
    <n v="5747"/>
    <n v="3"/>
    <n v="12"/>
    <n v="3"/>
    <n v="1"/>
    <n v="80"/>
    <n v="0"/>
    <n v="10"/>
    <n v="3"/>
    <n v="7"/>
    <n v="7"/>
    <n v="1"/>
    <n v="7"/>
  </r>
  <r>
    <x v="1"/>
    <s v="Travel_Rarely"/>
    <x v="1"/>
    <s v="Current Employees"/>
    <x v="2"/>
    <x v="0"/>
    <x v="943"/>
    <n v="1314"/>
    <x v="0"/>
    <x v="8"/>
    <x v="0"/>
    <s v="No"/>
    <s v="Y"/>
    <n v="3"/>
    <n v="-2"/>
    <n v="0"/>
    <x v="21"/>
    <x v="1"/>
    <x v="1"/>
    <n v="0"/>
    <n v="1"/>
    <n v="991"/>
    <n v="1"/>
    <x v="0"/>
    <x v="0"/>
    <n v="4"/>
    <n v="44"/>
    <n v="3"/>
    <n v="1"/>
    <n v="3"/>
    <x v="888"/>
    <n v="22957"/>
    <n v="6"/>
    <n v="12"/>
    <n v="3"/>
    <n v="3"/>
    <n v="80"/>
    <n v="0"/>
    <n v="10"/>
    <n v="4"/>
    <n v="7"/>
    <n v="6"/>
    <n v="5"/>
    <n v="7"/>
  </r>
  <r>
    <x v="1"/>
    <s v="Non-Travel"/>
    <x v="2"/>
    <s v="Current Employees"/>
    <x v="1"/>
    <x v="0"/>
    <x v="944"/>
    <n v="1315"/>
    <x v="0"/>
    <x v="2"/>
    <x v="1"/>
    <s v="No"/>
    <s v="Y"/>
    <n v="6"/>
    <n v="-2"/>
    <n v="0"/>
    <x v="14"/>
    <x v="1"/>
    <x v="1"/>
    <n v="0"/>
    <n v="1"/>
    <n v="1476"/>
    <n v="1"/>
    <x v="3"/>
    <x v="0"/>
    <n v="3"/>
    <n v="55"/>
    <n v="1"/>
    <n v="2"/>
    <n v="4"/>
    <x v="889"/>
    <n v="16392"/>
    <n v="0"/>
    <n v="11"/>
    <n v="3"/>
    <n v="1"/>
    <n v="80"/>
    <n v="3"/>
    <n v="10"/>
    <n v="3"/>
    <n v="9"/>
    <n v="8"/>
    <n v="7"/>
    <n v="5"/>
  </r>
  <r>
    <x v="1"/>
    <s v="Travel_Rarely"/>
    <x v="1"/>
    <s v="Current Employees"/>
    <x v="1"/>
    <x v="0"/>
    <x v="945"/>
    <n v="1317"/>
    <x v="0"/>
    <x v="7"/>
    <x v="1"/>
    <s v="Yes"/>
    <s v="Y"/>
    <n v="2"/>
    <n v="-2"/>
    <n v="0"/>
    <x v="24"/>
    <x v="1"/>
    <x v="1"/>
    <n v="0"/>
    <n v="1"/>
    <n v="1322"/>
    <n v="28"/>
    <x v="3"/>
    <x v="0"/>
    <n v="4"/>
    <n v="43"/>
    <n v="3"/>
    <n v="4"/>
    <n v="3"/>
    <x v="890"/>
    <n v="22422"/>
    <n v="4"/>
    <n v="11"/>
    <n v="3"/>
    <n v="2"/>
    <n v="80"/>
    <n v="0"/>
    <n v="25"/>
    <n v="3"/>
    <n v="3"/>
    <n v="2"/>
    <n v="1"/>
    <n v="2"/>
  </r>
  <r>
    <x v="0"/>
    <s v="Travel_Rarely"/>
    <x v="0"/>
    <s v="Ex-Employees"/>
    <x v="0"/>
    <x v="3"/>
    <x v="946"/>
    <n v="1318"/>
    <x v="1"/>
    <x v="0"/>
    <x v="0"/>
    <s v="Yes"/>
    <s v="Y"/>
    <n v="2"/>
    <n v="-2"/>
    <n v="0"/>
    <x v="32"/>
    <x v="0"/>
    <x v="0"/>
    <n v="1"/>
    <n v="0"/>
    <n v="299"/>
    <n v="25"/>
    <x v="2"/>
    <x v="0"/>
    <n v="4"/>
    <n v="57"/>
    <n v="2"/>
    <n v="3"/>
    <n v="2"/>
    <x v="891"/>
    <n v="17235"/>
    <n v="2"/>
    <n v="12"/>
    <n v="3"/>
    <n v="3"/>
    <n v="80"/>
    <n v="0"/>
    <n v="9"/>
    <n v="3"/>
    <n v="5"/>
    <n v="4"/>
    <n v="1"/>
    <n v="0"/>
  </r>
  <r>
    <x v="0"/>
    <s v="Travel_Rarely"/>
    <x v="1"/>
    <s v="Ex-Employees"/>
    <x v="0"/>
    <x v="0"/>
    <x v="947"/>
    <n v="1319"/>
    <x v="1"/>
    <x v="0"/>
    <x v="0"/>
    <s v="Yes"/>
    <s v="Y"/>
    <n v="2"/>
    <n v="-2"/>
    <n v="0"/>
    <x v="39"/>
    <x v="0"/>
    <x v="0"/>
    <n v="1"/>
    <n v="0"/>
    <n v="1030"/>
    <n v="5"/>
    <x v="3"/>
    <x v="0"/>
    <n v="2"/>
    <n v="64"/>
    <n v="3"/>
    <n v="3"/>
    <n v="2"/>
    <x v="892"/>
    <n v="21534"/>
    <n v="9"/>
    <n v="19"/>
    <n v="3"/>
    <n v="3"/>
    <n v="80"/>
    <n v="0"/>
    <n v="10"/>
    <n v="2"/>
    <n v="8"/>
    <n v="7"/>
    <n v="7"/>
    <n v="7"/>
  </r>
  <r>
    <x v="1"/>
    <s v="Travel_Rarely"/>
    <x v="2"/>
    <s v="Current Employees"/>
    <x v="1"/>
    <x v="2"/>
    <x v="948"/>
    <n v="1321"/>
    <x v="0"/>
    <x v="5"/>
    <x v="1"/>
    <s v="Yes"/>
    <s v="Y"/>
    <n v="2"/>
    <n v="-2"/>
    <n v="0"/>
    <x v="7"/>
    <x v="1"/>
    <x v="1"/>
    <n v="0"/>
    <n v="1"/>
    <n v="634"/>
    <n v="17"/>
    <x v="2"/>
    <x v="0"/>
    <n v="2"/>
    <n v="95"/>
    <n v="3"/>
    <n v="3"/>
    <n v="3"/>
    <x v="893"/>
    <n v="25927"/>
    <n v="1"/>
    <n v="23"/>
    <n v="4"/>
    <n v="4"/>
    <n v="80"/>
    <n v="2"/>
    <n v="9"/>
    <n v="3"/>
    <n v="9"/>
    <n v="1"/>
    <n v="0"/>
    <n v="8"/>
  </r>
  <r>
    <x v="1"/>
    <s v="Travel_Rarely"/>
    <x v="0"/>
    <s v="Current Employees"/>
    <x v="1"/>
    <x v="0"/>
    <x v="949"/>
    <n v="1322"/>
    <x v="1"/>
    <x v="3"/>
    <x v="0"/>
    <s v="No"/>
    <s v="Y"/>
    <n v="6"/>
    <n v="-2"/>
    <n v="0"/>
    <x v="22"/>
    <x v="1"/>
    <x v="1"/>
    <n v="0"/>
    <n v="1"/>
    <n v="524"/>
    <n v="18"/>
    <x v="0"/>
    <x v="0"/>
    <n v="1"/>
    <n v="32"/>
    <n v="3"/>
    <n v="2"/>
    <n v="3"/>
    <x v="894"/>
    <n v="13352"/>
    <n v="0"/>
    <n v="11"/>
    <n v="3"/>
    <n v="1"/>
    <n v="80"/>
    <n v="0"/>
    <n v="9"/>
    <n v="3"/>
    <n v="8"/>
    <n v="7"/>
    <n v="1"/>
    <n v="7"/>
  </r>
  <r>
    <x v="1"/>
    <s v="Non-Travel"/>
    <x v="2"/>
    <s v="Current Employees"/>
    <x v="0"/>
    <x v="0"/>
    <x v="950"/>
    <n v="1324"/>
    <x v="0"/>
    <x v="0"/>
    <x v="2"/>
    <s v="Yes"/>
    <s v="Y"/>
    <n v="5"/>
    <n v="-2"/>
    <n v="0"/>
    <x v="12"/>
    <x v="1"/>
    <x v="1"/>
    <n v="0"/>
    <n v="1"/>
    <n v="587"/>
    <n v="2"/>
    <x v="2"/>
    <x v="0"/>
    <n v="4"/>
    <n v="57"/>
    <n v="3"/>
    <n v="3"/>
    <n v="3"/>
    <x v="895"/>
    <n v="8935"/>
    <n v="1"/>
    <n v="19"/>
    <n v="3"/>
    <n v="1"/>
    <n v="80"/>
    <n v="1"/>
    <n v="10"/>
    <n v="2"/>
    <n v="10"/>
    <n v="8"/>
    <n v="9"/>
    <n v="6"/>
  </r>
  <r>
    <x v="1"/>
    <s v="Non-Travel"/>
    <x v="0"/>
    <s v="Current Employees"/>
    <x v="0"/>
    <x v="2"/>
    <x v="951"/>
    <n v="1329"/>
    <x v="1"/>
    <x v="0"/>
    <x v="0"/>
    <s v="No"/>
    <s v="Y"/>
    <n v="4"/>
    <n v="-2"/>
    <n v="0"/>
    <x v="0"/>
    <x v="1"/>
    <x v="1"/>
    <n v="0"/>
    <n v="1"/>
    <n v="256"/>
    <n v="10"/>
    <x v="0"/>
    <x v="0"/>
    <n v="3"/>
    <n v="40"/>
    <n v="1"/>
    <n v="2"/>
    <n v="2"/>
    <x v="896"/>
    <n v="22074"/>
    <n v="1"/>
    <n v="13"/>
    <n v="3"/>
    <n v="1"/>
    <n v="80"/>
    <n v="0"/>
    <n v="19"/>
    <n v="3"/>
    <n v="19"/>
    <n v="2"/>
    <n v="11"/>
    <n v="9"/>
  </r>
  <r>
    <x v="0"/>
    <s v="Travel_Frequently"/>
    <x v="2"/>
    <s v="Ex-Employees"/>
    <x v="0"/>
    <x v="0"/>
    <x v="952"/>
    <n v="1331"/>
    <x v="0"/>
    <x v="6"/>
    <x v="0"/>
    <s v="Yes"/>
    <s v="Y"/>
    <n v="2"/>
    <n v="-2"/>
    <n v="0"/>
    <x v="12"/>
    <x v="0"/>
    <x v="0"/>
    <n v="1"/>
    <n v="0"/>
    <n v="1060"/>
    <n v="1"/>
    <x v="3"/>
    <x v="0"/>
    <n v="4"/>
    <n v="54"/>
    <n v="3"/>
    <n v="1"/>
    <n v="2"/>
    <x v="897"/>
    <n v="8319"/>
    <n v="1"/>
    <n v="11"/>
    <n v="3"/>
    <n v="1"/>
    <n v="80"/>
    <n v="0"/>
    <n v="3"/>
    <n v="4"/>
    <n v="3"/>
    <n v="2"/>
    <n v="2"/>
    <n v="2"/>
  </r>
  <r>
    <x v="0"/>
    <s v="Travel_Rarely"/>
    <x v="0"/>
    <s v="Ex-Employees"/>
    <x v="1"/>
    <x v="0"/>
    <x v="953"/>
    <n v="1333"/>
    <x v="1"/>
    <x v="2"/>
    <x v="1"/>
    <s v="No"/>
    <s v="Y"/>
    <n v="4"/>
    <n v="-2"/>
    <n v="0"/>
    <x v="20"/>
    <x v="0"/>
    <x v="0"/>
    <n v="1"/>
    <n v="0"/>
    <n v="935"/>
    <n v="3"/>
    <x v="3"/>
    <x v="0"/>
    <n v="1"/>
    <n v="89"/>
    <n v="3"/>
    <n v="1"/>
    <n v="3"/>
    <x v="898"/>
    <n v="14669"/>
    <n v="4"/>
    <n v="12"/>
    <n v="3"/>
    <n v="3"/>
    <n v="80"/>
    <n v="0"/>
    <n v="10"/>
    <n v="4"/>
    <n v="3"/>
    <n v="2"/>
    <n v="1"/>
    <n v="2"/>
  </r>
  <r>
    <x v="1"/>
    <s v="Non-Travel"/>
    <x v="0"/>
    <s v="Current Employees"/>
    <x v="1"/>
    <x v="0"/>
    <x v="954"/>
    <n v="1334"/>
    <x v="1"/>
    <x v="5"/>
    <x v="1"/>
    <s v="Yes"/>
    <s v="Y"/>
    <n v="3"/>
    <n v="-2"/>
    <n v="0"/>
    <x v="19"/>
    <x v="1"/>
    <x v="1"/>
    <n v="0"/>
    <n v="1"/>
    <n v="495"/>
    <n v="2"/>
    <x v="1"/>
    <x v="0"/>
    <n v="3"/>
    <n v="37"/>
    <n v="3"/>
    <n v="4"/>
    <n v="3"/>
    <x v="417"/>
    <n v="26582"/>
    <n v="0"/>
    <n v="13"/>
    <n v="3"/>
    <n v="4"/>
    <n v="80"/>
    <n v="0"/>
    <n v="21"/>
    <n v="2"/>
    <n v="20"/>
    <n v="8"/>
    <n v="2"/>
    <n v="10"/>
  </r>
  <r>
    <x v="1"/>
    <s v="Travel_Rarely"/>
    <x v="3"/>
    <s v="Current Employees"/>
    <x v="1"/>
    <x v="2"/>
    <x v="955"/>
    <n v="1336"/>
    <x v="0"/>
    <x v="5"/>
    <x v="1"/>
    <s v="No"/>
    <s v="Y"/>
    <n v="5"/>
    <n v="-2"/>
    <n v="0"/>
    <x v="27"/>
    <x v="1"/>
    <x v="1"/>
    <n v="0"/>
    <n v="1"/>
    <n v="282"/>
    <n v="2"/>
    <x v="0"/>
    <x v="0"/>
    <n v="4"/>
    <n v="58"/>
    <n v="1"/>
    <n v="5"/>
    <n v="3"/>
    <x v="899"/>
    <n v="6992"/>
    <n v="4"/>
    <n v="14"/>
    <n v="3"/>
    <n v="4"/>
    <n v="80"/>
    <n v="1"/>
    <n v="23"/>
    <n v="3"/>
    <n v="19"/>
    <n v="9"/>
    <n v="9"/>
    <n v="11"/>
  </r>
  <r>
    <x v="1"/>
    <s v="Travel_Rarely"/>
    <x v="3"/>
    <s v="Current Employees"/>
    <x v="2"/>
    <x v="0"/>
    <x v="956"/>
    <n v="1338"/>
    <x v="1"/>
    <x v="5"/>
    <x v="0"/>
    <s v="No"/>
    <s v="Y"/>
    <n v="4"/>
    <n v="-2"/>
    <n v="0"/>
    <x v="29"/>
    <x v="1"/>
    <x v="1"/>
    <n v="0"/>
    <n v="1"/>
    <n v="206"/>
    <n v="8"/>
    <x v="2"/>
    <x v="0"/>
    <n v="4"/>
    <n v="99"/>
    <n v="3"/>
    <n v="5"/>
    <n v="2"/>
    <x v="900"/>
    <n v="4022"/>
    <n v="6"/>
    <n v="14"/>
    <n v="3"/>
    <n v="1"/>
    <n v="80"/>
    <n v="0"/>
    <n v="36"/>
    <n v="3"/>
    <n v="7"/>
    <n v="3"/>
    <n v="7"/>
    <n v="7"/>
  </r>
  <r>
    <x v="1"/>
    <s v="Non-Travel"/>
    <x v="0"/>
    <s v="Current Employees"/>
    <x v="1"/>
    <x v="0"/>
    <x v="957"/>
    <n v="1340"/>
    <x v="1"/>
    <x v="1"/>
    <x v="2"/>
    <s v="No"/>
    <s v="Y"/>
    <n v="0"/>
    <n v="-2"/>
    <n v="0"/>
    <x v="32"/>
    <x v="1"/>
    <x v="1"/>
    <n v="0"/>
    <n v="1"/>
    <n v="458"/>
    <n v="16"/>
    <x v="0"/>
    <x v="0"/>
    <n v="3"/>
    <n v="74"/>
    <n v="3"/>
    <n v="1"/>
    <n v="3"/>
    <x v="901"/>
    <n v="8532"/>
    <n v="9"/>
    <n v="16"/>
    <n v="3"/>
    <n v="2"/>
    <n v="80"/>
    <n v="1"/>
    <n v="6"/>
    <n v="3"/>
    <n v="4"/>
    <n v="2"/>
    <n v="0"/>
    <n v="0"/>
  </r>
  <r>
    <x v="1"/>
    <s v="Travel_Rarely"/>
    <x v="2"/>
    <s v="Current Employees"/>
    <x v="1"/>
    <x v="0"/>
    <x v="958"/>
    <n v="1344"/>
    <x v="1"/>
    <x v="4"/>
    <x v="2"/>
    <s v="No"/>
    <s v="Y"/>
    <n v="0"/>
    <n v="-2"/>
    <n v="0"/>
    <x v="13"/>
    <x v="1"/>
    <x v="1"/>
    <n v="0"/>
    <n v="1"/>
    <n v="943"/>
    <n v="9"/>
    <x v="3"/>
    <x v="0"/>
    <n v="4"/>
    <n v="86"/>
    <n v="3"/>
    <n v="3"/>
    <n v="4"/>
    <x v="902"/>
    <n v="5494"/>
    <n v="0"/>
    <n v="11"/>
    <n v="3"/>
    <n v="4"/>
    <n v="80"/>
    <n v="1"/>
    <n v="10"/>
    <n v="2"/>
    <n v="9"/>
    <n v="7"/>
    <n v="1"/>
    <n v="6"/>
  </r>
  <r>
    <x v="1"/>
    <s v="Travel_Rarely"/>
    <x v="0"/>
    <s v="Current Employees"/>
    <x v="1"/>
    <x v="0"/>
    <x v="959"/>
    <n v="1346"/>
    <x v="1"/>
    <x v="1"/>
    <x v="0"/>
    <s v="No"/>
    <s v="Y"/>
    <n v="4"/>
    <n v="-2"/>
    <n v="0"/>
    <x v="32"/>
    <x v="1"/>
    <x v="1"/>
    <n v="0"/>
    <n v="1"/>
    <n v="523"/>
    <n v="2"/>
    <x v="3"/>
    <x v="0"/>
    <n v="3"/>
    <n v="98"/>
    <n v="3"/>
    <n v="2"/>
    <n v="4"/>
    <x v="903"/>
    <n v="22455"/>
    <n v="1"/>
    <n v="13"/>
    <n v="3"/>
    <n v="3"/>
    <n v="80"/>
    <n v="0"/>
    <n v="9"/>
    <n v="3"/>
    <n v="9"/>
    <n v="8"/>
    <n v="8"/>
    <n v="8"/>
  </r>
  <r>
    <x v="1"/>
    <s v="Travel_Frequently"/>
    <x v="0"/>
    <s v="Current Employees"/>
    <x v="0"/>
    <x v="3"/>
    <x v="960"/>
    <n v="1349"/>
    <x v="0"/>
    <x v="0"/>
    <x v="2"/>
    <s v="No"/>
    <s v="Y"/>
    <n v="2"/>
    <n v="-2"/>
    <n v="0"/>
    <x v="0"/>
    <x v="1"/>
    <x v="1"/>
    <n v="0"/>
    <n v="1"/>
    <n v="1018"/>
    <n v="1"/>
    <x v="3"/>
    <x v="0"/>
    <n v="3"/>
    <n v="66"/>
    <n v="3"/>
    <n v="2"/>
    <n v="2"/>
    <x v="904"/>
    <n v="4297"/>
    <n v="0"/>
    <n v="17"/>
    <n v="3"/>
    <n v="4"/>
    <n v="80"/>
    <n v="1"/>
    <n v="10"/>
    <n v="3"/>
    <n v="9"/>
    <n v="3"/>
    <n v="1"/>
    <n v="7"/>
  </r>
  <r>
    <x v="1"/>
    <s v="Travel_Frequently"/>
    <x v="0"/>
    <s v="Current Employees"/>
    <x v="1"/>
    <x v="0"/>
    <x v="961"/>
    <n v="1350"/>
    <x v="1"/>
    <x v="1"/>
    <x v="0"/>
    <s v="Yes"/>
    <s v="Y"/>
    <n v="3"/>
    <n v="-2"/>
    <n v="0"/>
    <x v="10"/>
    <x v="1"/>
    <x v="1"/>
    <n v="0"/>
    <n v="1"/>
    <n v="482"/>
    <n v="4"/>
    <x v="2"/>
    <x v="0"/>
    <n v="3"/>
    <n v="87"/>
    <n v="3"/>
    <n v="2"/>
    <n v="3"/>
    <x v="905"/>
    <n v="2690"/>
    <n v="1"/>
    <n v="11"/>
    <n v="3"/>
    <n v="2"/>
    <n v="80"/>
    <n v="0"/>
    <n v="9"/>
    <n v="3"/>
    <n v="9"/>
    <n v="6"/>
    <n v="1"/>
    <n v="1"/>
  </r>
  <r>
    <x v="1"/>
    <s v="Travel_Rarely"/>
    <x v="1"/>
    <s v="Current Employees"/>
    <x v="2"/>
    <x v="0"/>
    <x v="962"/>
    <n v="1352"/>
    <x v="1"/>
    <x v="5"/>
    <x v="2"/>
    <s v="Yes"/>
    <s v="Y"/>
    <n v="2"/>
    <n v="-2"/>
    <n v="0"/>
    <x v="31"/>
    <x v="1"/>
    <x v="1"/>
    <n v="0"/>
    <n v="1"/>
    <n v="770"/>
    <n v="5"/>
    <x v="3"/>
    <x v="0"/>
    <n v="3"/>
    <n v="84"/>
    <n v="3"/>
    <n v="4"/>
    <n v="2"/>
    <x v="906"/>
    <n v="17588"/>
    <n v="1"/>
    <n v="11"/>
    <n v="3"/>
    <n v="2"/>
    <n v="80"/>
    <n v="1"/>
    <n v="33"/>
    <n v="3"/>
    <n v="33"/>
    <n v="9"/>
    <n v="0"/>
    <n v="10"/>
  </r>
  <r>
    <x v="1"/>
    <s v="Travel_Rarely"/>
    <x v="0"/>
    <s v="Current Employees"/>
    <x v="0"/>
    <x v="0"/>
    <x v="963"/>
    <n v="1355"/>
    <x v="0"/>
    <x v="0"/>
    <x v="2"/>
    <s v="No"/>
    <s v="Y"/>
    <n v="3"/>
    <n v="-2"/>
    <n v="0"/>
    <x v="8"/>
    <x v="1"/>
    <x v="1"/>
    <n v="0"/>
    <n v="1"/>
    <n v="1009"/>
    <n v="2"/>
    <x v="0"/>
    <x v="0"/>
    <n v="2"/>
    <n v="31"/>
    <n v="3"/>
    <n v="2"/>
    <n v="3"/>
    <x v="907"/>
    <n v="19461"/>
    <n v="3"/>
    <n v="15"/>
    <n v="3"/>
    <n v="4"/>
    <n v="80"/>
    <n v="1"/>
    <n v="11"/>
    <n v="3"/>
    <n v="7"/>
    <n v="7"/>
    <n v="1"/>
    <n v="7"/>
  </r>
  <r>
    <x v="1"/>
    <s v="Travel_Rarely"/>
    <x v="2"/>
    <s v="Current Employees"/>
    <x v="0"/>
    <x v="2"/>
    <x v="964"/>
    <n v="1356"/>
    <x v="0"/>
    <x v="0"/>
    <x v="0"/>
    <s v="No"/>
    <s v="Y"/>
    <n v="6"/>
    <n v="-2"/>
    <n v="0"/>
    <x v="13"/>
    <x v="1"/>
    <x v="1"/>
    <n v="0"/>
    <n v="1"/>
    <n v="507"/>
    <n v="15"/>
    <x v="0"/>
    <x v="0"/>
    <n v="3"/>
    <n v="66"/>
    <n v="3"/>
    <n v="2"/>
    <n v="3"/>
    <x v="908"/>
    <n v="23553"/>
    <n v="1"/>
    <n v="12"/>
    <n v="3"/>
    <n v="4"/>
    <n v="80"/>
    <n v="0"/>
    <n v="10"/>
    <n v="4"/>
    <n v="10"/>
    <n v="8"/>
    <n v="9"/>
    <n v="6"/>
  </r>
  <r>
    <x v="1"/>
    <s v="Travel_Rarely"/>
    <x v="2"/>
    <s v="Current Employees"/>
    <x v="1"/>
    <x v="2"/>
    <x v="965"/>
    <n v="1358"/>
    <x v="1"/>
    <x v="2"/>
    <x v="1"/>
    <s v="No"/>
    <s v="Y"/>
    <n v="6"/>
    <n v="-2"/>
    <n v="0"/>
    <x v="36"/>
    <x v="1"/>
    <x v="1"/>
    <n v="0"/>
    <n v="1"/>
    <n v="882"/>
    <n v="19"/>
    <x v="1"/>
    <x v="0"/>
    <n v="4"/>
    <n v="67"/>
    <n v="3"/>
    <n v="1"/>
    <n v="4"/>
    <x v="909"/>
    <n v="9075"/>
    <n v="3"/>
    <n v="11"/>
    <n v="3"/>
    <n v="3"/>
    <n v="80"/>
    <n v="3"/>
    <n v="7"/>
    <n v="2"/>
    <n v="3"/>
    <n v="2"/>
    <n v="1"/>
    <n v="2"/>
  </r>
  <r>
    <x v="0"/>
    <s v="Travel_Rarely"/>
    <x v="3"/>
    <s v="Ex-Employees"/>
    <x v="1"/>
    <x v="2"/>
    <x v="966"/>
    <n v="1360"/>
    <x v="0"/>
    <x v="3"/>
    <x v="1"/>
    <s v="Yes"/>
    <s v="Y"/>
    <n v="0"/>
    <n v="-2"/>
    <n v="0"/>
    <x v="34"/>
    <x v="0"/>
    <x v="0"/>
    <n v="1"/>
    <n v="0"/>
    <n v="601"/>
    <n v="7"/>
    <x v="2"/>
    <x v="0"/>
    <n v="3"/>
    <n v="53"/>
    <n v="2"/>
    <n v="3"/>
    <n v="3"/>
    <x v="910"/>
    <n v="12023"/>
    <n v="7"/>
    <n v="14"/>
    <n v="3"/>
    <n v="4"/>
    <n v="80"/>
    <n v="0"/>
    <n v="31"/>
    <n v="2"/>
    <n v="10"/>
    <n v="9"/>
    <n v="5"/>
    <n v="9"/>
  </r>
  <r>
    <x v="1"/>
    <s v="Travel_Rarely"/>
    <x v="0"/>
    <s v="Current Employees"/>
    <x v="1"/>
    <x v="0"/>
    <x v="967"/>
    <n v="1361"/>
    <x v="1"/>
    <x v="2"/>
    <x v="1"/>
    <s v="No"/>
    <s v="Y"/>
    <n v="3"/>
    <n v="-2"/>
    <n v="0"/>
    <x v="32"/>
    <x v="1"/>
    <x v="1"/>
    <n v="0"/>
    <n v="1"/>
    <n v="329"/>
    <n v="1"/>
    <x v="2"/>
    <x v="0"/>
    <n v="2"/>
    <n v="88"/>
    <n v="3"/>
    <n v="1"/>
    <n v="2"/>
    <x v="911"/>
    <n v="6762"/>
    <n v="3"/>
    <n v="22"/>
    <n v="4"/>
    <n v="3"/>
    <n v="80"/>
    <n v="1"/>
    <n v="7"/>
    <n v="3"/>
    <n v="4"/>
    <n v="2"/>
    <n v="0"/>
    <n v="3"/>
  </r>
  <r>
    <x v="1"/>
    <s v="Travel_Frequently"/>
    <x v="0"/>
    <s v="Current Employees"/>
    <x v="0"/>
    <x v="3"/>
    <x v="968"/>
    <n v="1362"/>
    <x v="0"/>
    <x v="0"/>
    <x v="1"/>
    <s v="No"/>
    <s v="Y"/>
    <n v="2"/>
    <n v="-2"/>
    <n v="0"/>
    <x v="9"/>
    <x v="1"/>
    <x v="1"/>
    <n v="0"/>
    <n v="1"/>
    <n v="607"/>
    <n v="7"/>
    <x v="3"/>
    <x v="0"/>
    <n v="1"/>
    <n v="83"/>
    <n v="4"/>
    <n v="2"/>
    <n v="2"/>
    <x v="912"/>
    <n v="2261"/>
    <n v="2"/>
    <n v="16"/>
    <n v="3"/>
    <n v="4"/>
    <n v="80"/>
    <n v="1"/>
    <n v="17"/>
    <n v="2"/>
    <n v="15"/>
    <n v="7"/>
    <n v="6"/>
    <n v="13"/>
  </r>
  <r>
    <x v="1"/>
    <s v="Travel_Rarely"/>
    <x v="1"/>
    <s v="Current Employees"/>
    <x v="1"/>
    <x v="0"/>
    <x v="969"/>
    <n v="1363"/>
    <x v="1"/>
    <x v="3"/>
    <x v="0"/>
    <s v="No"/>
    <s v="Y"/>
    <n v="2"/>
    <n v="-2"/>
    <n v="0"/>
    <x v="26"/>
    <x v="1"/>
    <x v="1"/>
    <n v="0"/>
    <n v="1"/>
    <n v="855"/>
    <n v="4"/>
    <x v="3"/>
    <x v="0"/>
    <n v="4"/>
    <n v="54"/>
    <n v="3"/>
    <n v="3"/>
    <n v="4"/>
    <x v="913"/>
    <n v="18706"/>
    <n v="1"/>
    <n v="11"/>
    <n v="3"/>
    <n v="3"/>
    <n v="80"/>
    <n v="0"/>
    <n v="11"/>
    <n v="3"/>
    <n v="10"/>
    <n v="9"/>
    <n v="0"/>
    <n v="8"/>
  </r>
  <r>
    <x v="1"/>
    <s v="Travel_Rarely"/>
    <x v="2"/>
    <s v="Current Employees"/>
    <x v="0"/>
    <x v="2"/>
    <x v="970"/>
    <n v="1364"/>
    <x v="0"/>
    <x v="6"/>
    <x v="1"/>
    <s v="No"/>
    <s v="Y"/>
    <n v="4"/>
    <n v="-2"/>
    <n v="0"/>
    <x v="4"/>
    <x v="1"/>
    <x v="1"/>
    <n v="0"/>
    <n v="1"/>
    <n v="1291"/>
    <n v="11"/>
    <x v="3"/>
    <x v="0"/>
    <n v="3"/>
    <n v="98"/>
    <n v="4"/>
    <n v="1"/>
    <n v="4"/>
    <x v="914"/>
    <n v="6527"/>
    <n v="8"/>
    <n v="14"/>
    <n v="3"/>
    <n v="2"/>
    <n v="80"/>
    <n v="1"/>
    <n v="5"/>
    <n v="3"/>
    <n v="1"/>
    <n v="0"/>
    <n v="0"/>
    <n v="0"/>
  </r>
  <r>
    <x v="1"/>
    <s v="Travel_Rarely"/>
    <x v="1"/>
    <s v="Current Employees"/>
    <x v="1"/>
    <x v="4"/>
    <x v="971"/>
    <n v="1367"/>
    <x v="0"/>
    <x v="3"/>
    <x v="0"/>
    <s v="No"/>
    <s v="Y"/>
    <n v="1"/>
    <n v="-2"/>
    <n v="0"/>
    <x v="31"/>
    <x v="1"/>
    <x v="1"/>
    <n v="0"/>
    <n v="1"/>
    <n v="1405"/>
    <n v="11"/>
    <x v="0"/>
    <x v="0"/>
    <n v="4"/>
    <n v="82"/>
    <n v="2"/>
    <n v="4"/>
    <n v="4"/>
    <x v="915"/>
    <n v="24439"/>
    <n v="3"/>
    <n v="16"/>
    <n v="3"/>
    <n v="2"/>
    <n v="80"/>
    <n v="0"/>
    <n v="29"/>
    <n v="2"/>
    <n v="5"/>
    <n v="2"/>
    <n v="0"/>
    <n v="3"/>
  </r>
  <r>
    <x v="1"/>
    <s v="Non-Travel"/>
    <x v="4"/>
    <s v="Current Employees"/>
    <x v="1"/>
    <x v="0"/>
    <x v="972"/>
    <n v="1368"/>
    <x v="0"/>
    <x v="2"/>
    <x v="0"/>
    <s v="No"/>
    <s v="Y"/>
    <n v="5"/>
    <n v="-2"/>
    <n v="0"/>
    <x v="41"/>
    <x v="1"/>
    <x v="1"/>
    <n v="0"/>
    <n v="1"/>
    <n v="1124"/>
    <n v="1"/>
    <x v="3"/>
    <x v="0"/>
    <n v="4"/>
    <n v="97"/>
    <n v="3"/>
    <n v="1"/>
    <n v="4"/>
    <x v="916"/>
    <n v="19305"/>
    <n v="1"/>
    <n v="15"/>
    <n v="3"/>
    <n v="3"/>
    <n v="80"/>
    <n v="0"/>
    <n v="0"/>
    <n v="4"/>
    <n v="0"/>
    <n v="0"/>
    <n v="0"/>
    <n v="0"/>
  </r>
  <r>
    <x v="1"/>
    <s v="Travel_Rarely"/>
    <x v="0"/>
    <s v="Current Employees"/>
    <x v="1"/>
    <x v="2"/>
    <x v="973"/>
    <n v="1369"/>
    <x v="0"/>
    <x v="2"/>
    <x v="1"/>
    <s v="No"/>
    <s v="Y"/>
    <n v="0"/>
    <n v="-2"/>
    <n v="0"/>
    <x v="10"/>
    <x v="1"/>
    <x v="1"/>
    <n v="0"/>
    <n v="1"/>
    <n v="817"/>
    <n v="1"/>
    <x v="3"/>
    <x v="0"/>
    <n v="4"/>
    <n v="60"/>
    <n v="2"/>
    <n v="2"/>
    <n v="4"/>
    <x v="917"/>
    <n v="10846"/>
    <n v="0"/>
    <n v="12"/>
    <n v="3"/>
    <n v="2"/>
    <n v="80"/>
    <n v="1"/>
    <n v="10"/>
    <n v="3"/>
    <n v="9"/>
    <n v="7"/>
    <n v="0"/>
    <n v="0"/>
  </r>
  <r>
    <x v="1"/>
    <s v="Travel_Frequently"/>
    <x v="2"/>
    <s v="Current Employees"/>
    <x v="0"/>
    <x v="0"/>
    <x v="974"/>
    <n v="1371"/>
    <x v="1"/>
    <x v="0"/>
    <x v="0"/>
    <s v="No"/>
    <s v="Y"/>
    <n v="3"/>
    <n v="-2"/>
    <n v="0"/>
    <x v="4"/>
    <x v="1"/>
    <x v="1"/>
    <n v="0"/>
    <n v="1"/>
    <n v="793"/>
    <n v="2"/>
    <x v="1"/>
    <x v="0"/>
    <n v="4"/>
    <n v="43"/>
    <n v="1"/>
    <n v="2"/>
    <n v="4"/>
    <x v="918"/>
    <n v="20392"/>
    <n v="3"/>
    <n v="20"/>
    <n v="4"/>
    <n v="2"/>
    <n v="80"/>
    <n v="0"/>
    <n v="8"/>
    <n v="3"/>
    <n v="6"/>
    <n v="2"/>
    <n v="0"/>
    <n v="0"/>
  </r>
  <r>
    <x v="0"/>
    <s v="Travel_Rarely"/>
    <x v="3"/>
    <s v="Ex-Employees"/>
    <x v="0"/>
    <x v="3"/>
    <x v="975"/>
    <n v="1372"/>
    <x v="1"/>
    <x v="0"/>
    <x v="0"/>
    <s v="Yes"/>
    <s v="Y"/>
    <n v="2"/>
    <n v="-2"/>
    <n v="0"/>
    <x v="27"/>
    <x v="0"/>
    <x v="0"/>
    <n v="1"/>
    <n v="0"/>
    <n v="267"/>
    <n v="13"/>
    <x v="2"/>
    <x v="0"/>
    <n v="1"/>
    <n v="85"/>
    <n v="4"/>
    <n v="4"/>
    <n v="2"/>
    <x v="919"/>
    <n v="9277"/>
    <n v="6"/>
    <n v="17"/>
    <n v="3"/>
    <n v="3"/>
    <n v="80"/>
    <n v="0"/>
    <n v="24"/>
    <n v="2"/>
    <n v="19"/>
    <n v="7"/>
    <n v="3"/>
    <n v="8"/>
  </r>
  <r>
    <x v="1"/>
    <s v="Travel_Rarely"/>
    <x v="3"/>
    <s v="Current Employees"/>
    <x v="1"/>
    <x v="0"/>
    <x v="976"/>
    <n v="1373"/>
    <x v="1"/>
    <x v="3"/>
    <x v="1"/>
    <s v="Yes"/>
    <s v="Y"/>
    <n v="0"/>
    <n v="-2"/>
    <n v="0"/>
    <x v="29"/>
    <x v="1"/>
    <x v="1"/>
    <n v="0"/>
    <n v="1"/>
    <n v="1369"/>
    <n v="23"/>
    <x v="3"/>
    <x v="0"/>
    <n v="4"/>
    <n v="68"/>
    <n v="3"/>
    <n v="4"/>
    <n v="2"/>
    <x v="920"/>
    <n v="18235"/>
    <n v="4"/>
    <n v="12"/>
    <n v="3"/>
    <n v="1"/>
    <n v="80"/>
    <n v="1"/>
    <n v="33"/>
    <n v="3"/>
    <n v="19"/>
    <n v="16"/>
    <n v="15"/>
    <n v="9"/>
  </r>
  <r>
    <x v="1"/>
    <s v="Non-Travel"/>
    <x v="2"/>
    <s v="Current Employees"/>
    <x v="1"/>
    <x v="4"/>
    <x v="977"/>
    <n v="1374"/>
    <x v="0"/>
    <x v="1"/>
    <x v="2"/>
    <s v="No"/>
    <s v="Y"/>
    <n v="2"/>
    <n v="-2"/>
    <n v="0"/>
    <x v="13"/>
    <x v="1"/>
    <x v="1"/>
    <n v="0"/>
    <n v="1"/>
    <n v="999"/>
    <n v="26"/>
    <x v="1"/>
    <x v="0"/>
    <n v="4"/>
    <n v="92"/>
    <n v="2"/>
    <n v="1"/>
    <n v="4"/>
    <x v="921"/>
    <n v="15891"/>
    <n v="1"/>
    <n v="20"/>
    <n v="4"/>
    <n v="3"/>
    <n v="80"/>
    <n v="3"/>
    <n v="5"/>
    <n v="3"/>
    <n v="5"/>
    <n v="4"/>
    <n v="0"/>
    <n v="0"/>
  </r>
  <r>
    <x v="1"/>
    <s v="Travel_Rarely"/>
    <x v="0"/>
    <s v="Current Employees"/>
    <x v="1"/>
    <x v="2"/>
    <x v="978"/>
    <n v="1375"/>
    <x v="0"/>
    <x v="4"/>
    <x v="2"/>
    <s v="No"/>
    <s v="Y"/>
    <n v="0"/>
    <n v="-2"/>
    <n v="0"/>
    <x v="32"/>
    <x v="1"/>
    <x v="1"/>
    <n v="0"/>
    <n v="1"/>
    <n v="1202"/>
    <n v="2"/>
    <x v="1"/>
    <x v="0"/>
    <n v="2"/>
    <n v="89"/>
    <n v="4"/>
    <n v="2"/>
    <n v="3"/>
    <x v="922"/>
    <n v="13888"/>
    <n v="5"/>
    <n v="20"/>
    <n v="4"/>
    <n v="2"/>
    <n v="80"/>
    <n v="3"/>
    <n v="15"/>
    <n v="3"/>
    <n v="12"/>
    <n v="11"/>
    <n v="11"/>
    <n v="8"/>
  </r>
  <r>
    <x v="1"/>
    <s v="Travel_Rarely"/>
    <x v="2"/>
    <s v="Current Employees"/>
    <x v="1"/>
    <x v="2"/>
    <x v="979"/>
    <n v="1377"/>
    <x v="1"/>
    <x v="2"/>
    <x v="1"/>
    <s v="No"/>
    <s v="Y"/>
    <n v="1"/>
    <n v="-2"/>
    <n v="0"/>
    <x v="13"/>
    <x v="1"/>
    <x v="1"/>
    <n v="0"/>
    <n v="1"/>
    <n v="285"/>
    <n v="29"/>
    <x v="3"/>
    <x v="0"/>
    <n v="2"/>
    <n v="86"/>
    <n v="3"/>
    <n v="2"/>
    <n v="3"/>
    <x v="923"/>
    <n v="17491"/>
    <n v="4"/>
    <n v="13"/>
    <n v="3"/>
    <n v="1"/>
    <n v="80"/>
    <n v="2"/>
    <n v="10"/>
    <n v="3"/>
    <n v="8"/>
    <n v="7"/>
    <n v="7"/>
    <n v="7"/>
  </r>
  <r>
    <x v="0"/>
    <s v="Travel_Frequently"/>
    <x v="2"/>
    <s v="Ex-Employees"/>
    <x v="0"/>
    <x v="0"/>
    <x v="980"/>
    <n v="1379"/>
    <x v="0"/>
    <x v="6"/>
    <x v="0"/>
    <s v="No"/>
    <s v="Y"/>
    <n v="3"/>
    <n v="-2"/>
    <n v="0"/>
    <x v="12"/>
    <x v="0"/>
    <x v="0"/>
    <n v="1"/>
    <n v="0"/>
    <n v="703"/>
    <n v="2"/>
    <x v="3"/>
    <x v="0"/>
    <n v="3"/>
    <n v="90"/>
    <n v="2"/>
    <n v="1"/>
    <n v="4"/>
    <x v="924"/>
    <n v="11882"/>
    <n v="7"/>
    <n v="14"/>
    <n v="3"/>
    <n v="3"/>
    <n v="80"/>
    <n v="0"/>
    <n v="3"/>
    <n v="4"/>
    <n v="1"/>
    <n v="0"/>
    <n v="0"/>
    <n v="0"/>
  </r>
  <r>
    <x v="0"/>
    <s v="Travel_Frequently"/>
    <x v="0"/>
    <s v="Ex-Employees"/>
    <x v="0"/>
    <x v="3"/>
    <x v="981"/>
    <n v="1380"/>
    <x v="0"/>
    <x v="0"/>
    <x v="1"/>
    <s v="Yes"/>
    <s v="Y"/>
    <n v="0"/>
    <n v="-2"/>
    <n v="0"/>
    <x v="10"/>
    <x v="0"/>
    <x v="0"/>
    <n v="1"/>
    <n v="0"/>
    <n v="662"/>
    <n v="18"/>
    <x v="2"/>
    <x v="0"/>
    <n v="4"/>
    <n v="67"/>
    <n v="3"/>
    <n v="2"/>
    <n v="2"/>
    <x v="925"/>
    <n v="23288"/>
    <n v="0"/>
    <n v="18"/>
    <n v="3"/>
    <n v="3"/>
    <n v="80"/>
    <n v="1"/>
    <n v="5"/>
    <n v="2"/>
    <n v="4"/>
    <n v="2"/>
    <n v="3"/>
    <n v="2"/>
  </r>
  <r>
    <x v="1"/>
    <s v="Travel_Frequently"/>
    <x v="0"/>
    <s v="Current Employees"/>
    <x v="1"/>
    <x v="0"/>
    <x v="982"/>
    <n v="1382"/>
    <x v="1"/>
    <x v="1"/>
    <x v="2"/>
    <s v="No"/>
    <s v="Y"/>
    <n v="2"/>
    <n v="-2"/>
    <n v="0"/>
    <x v="8"/>
    <x v="1"/>
    <x v="1"/>
    <n v="0"/>
    <n v="1"/>
    <n v="693"/>
    <n v="7"/>
    <x v="3"/>
    <x v="0"/>
    <n v="4"/>
    <n v="57"/>
    <n v="4"/>
    <n v="1"/>
    <n v="3"/>
    <x v="353"/>
    <n v="15748"/>
    <n v="1"/>
    <n v="11"/>
    <n v="3"/>
    <n v="4"/>
    <n v="80"/>
    <n v="3"/>
    <n v="4"/>
    <n v="3"/>
    <n v="4"/>
    <n v="2"/>
    <n v="0"/>
    <n v="3"/>
  </r>
  <r>
    <x v="1"/>
    <s v="Travel_Rarely"/>
    <x v="2"/>
    <s v="Current Employees"/>
    <x v="1"/>
    <x v="4"/>
    <x v="983"/>
    <n v="1383"/>
    <x v="0"/>
    <x v="4"/>
    <x v="0"/>
    <s v="No"/>
    <s v="Y"/>
    <n v="2"/>
    <n v="-2"/>
    <n v="0"/>
    <x v="13"/>
    <x v="1"/>
    <x v="1"/>
    <n v="0"/>
    <n v="1"/>
    <n v="404"/>
    <n v="2"/>
    <x v="2"/>
    <x v="0"/>
    <n v="4"/>
    <n v="98"/>
    <n v="3"/>
    <n v="2"/>
    <n v="4"/>
    <x v="926"/>
    <n v="6163"/>
    <n v="1"/>
    <n v="11"/>
    <n v="3"/>
    <n v="4"/>
    <n v="80"/>
    <n v="0"/>
    <n v="14"/>
    <n v="4"/>
    <n v="14"/>
    <n v="11"/>
    <n v="4"/>
    <n v="11"/>
  </r>
  <r>
    <x v="1"/>
    <s v="Travel_Rarely"/>
    <x v="2"/>
    <s v="Current Employees"/>
    <x v="0"/>
    <x v="0"/>
    <x v="984"/>
    <n v="1387"/>
    <x v="1"/>
    <x v="0"/>
    <x v="1"/>
    <s v="No"/>
    <s v="Y"/>
    <n v="0"/>
    <n v="-2"/>
    <n v="0"/>
    <x v="14"/>
    <x v="1"/>
    <x v="1"/>
    <n v="0"/>
    <n v="1"/>
    <n v="736"/>
    <n v="26"/>
    <x v="3"/>
    <x v="0"/>
    <n v="3"/>
    <n v="48"/>
    <n v="2"/>
    <n v="2"/>
    <n v="3"/>
    <x v="927"/>
    <n v="24232"/>
    <n v="1"/>
    <n v="11"/>
    <n v="3"/>
    <n v="3"/>
    <n v="80"/>
    <n v="1"/>
    <n v="5"/>
    <n v="3"/>
    <n v="5"/>
    <n v="3"/>
    <n v="0"/>
    <n v="4"/>
  </r>
  <r>
    <x v="0"/>
    <s v="Travel_Rarely"/>
    <x v="2"/>
    <s v="Ex-Employees"/>
    <x v="1"/>
    <x v="2"/>
    <x v="985"/>
    <n v="1389"/>
    <x v="1"/>
    <x v="3"/>
    <x v="1"/>
    <s v="Yes"/>
    <s v="Y"/>
    <n v="3"/>
    <n v="-2"/>
    <n v="0"/>
    <x v="12"/>
    <x v="0"/>
    <x v="0"/>
    <n v="1"/>
    <n v="0"/>
    <n v="330"/>
    <n v="22"/>
    <x v="2"/>
    <x v="0"/>
    <n v="4"/>
    <n v="98"/>
    <n v="3"/>
    <n v="2"/>
    <n v="3"/>
    <x v="928"/>
    <n v="21057"/>
    <n v="1"/>
    <n v="15"/>
    <n v="3"/>
    <n v="4"/>
    <n v="80"/>
    <n v="2"/>
    <n v="10"/>
    <n v="2"/>
    <n v="10"/>
    <n v="2"/>
    <n v="6"/>
    <n v="7"/>
  </r>
  <r>
    <x v="1"/>
    <s v="Travel_Rarely"/>
    <x v="0"/>
    <s v="Current Employees"/>
    <x v="0"/>
    <x v="0"/>
    <x v="986"/>
    <n v="1390"/>
    <x v="1"/>
    <x v="0"/>
    <x v="1"/>
    <s v="Yes"/>
    <s v="Y"/>
    <n v="2"/>
    <n v="-2"/>
    <n v="0"/>
    <x v="22"/>
    <x v="1"/>
    <x v="1"/>
    <n v="0"/>
    <n v="1"/>
    <n v="1498"/>
    <n v="21"/>
    <x v="2"/>
    <x v="0"/>
    <n v="1"/>
    <n v="44"/>
    <n v="2"/>
    <n v="2"/>
    <n v="4"/>
    <x v="929"/>
    <n v="3567"/>
    <n v="3"/>
    <n v="12"/>
    <n v="3"/>
    <n v="4"/>
    <n v="80"/>
    <n v="2"/>
    <n v="8"/>
    <n v="4"/>
    <n v="5"/>
    <n v="4"/>
    <n v="1"/>
    <n v="4"/>
  </r>
  <r>
    <x v="1"/>
    <s v="Travel_Frequently"/>
    <x v="1"/>
    <s v="Current Employees"/>
    <x v="0"/>
    <x v="3"/>
    <x v="987"/>
    <n v="1391"/>
    <x v="1"/>
    <x v="0"/>
    <x v="1"/>
    <s v="No"/>
    <s v="Y"/>
    <n v="5"/>
    <n v="-2"/>
    <n v="0"/>
    <x v="31"/>
    <x v="1"/>
    <x v="1"/>
    <n v="0"/>
    <n v="1"/>
    <n v="541"/>
    <n v="2"/>
    <x v="3"/>
    <x v="0"/>
    <n v="2"/>
    <n v="52"/>
    <n v="3"/>
    <n v="3"/>
    <n v="2"/>
    <x v="930"/>
    <n v="15395"/>
    <n v="2"/>
    <n v="11"/>
    <n v="3"/>
    <n v="2"/>
    <n v="80"/>
    <n v="0"/>
    <n v="14"/>
    <n v="3"/>
    <n v="4"/>
    <n v="2"/>
    <n v="3"/>
    <n v="2"/>
  </r>
  <r>
    <x v="1"/>
    <s v="Travel_Frequently"/>
    <x v="0"/>
    <s v="Current Employees"/>
    <x v="1"/>
    <x v="0"/>
    <x v="988"/>
    <n v="1392"/>
    <x v="0"/>
    <x v="1"/>
    <x v="2"/>
    <s v="Yes"/>
    <s v="Y"/>
    <n v="4"/>
    <n v="-2"/>
    <n v="0"/>
    <x v="0"/>
    <x v="1"/>
    <x v="1"/>
    <n v="0"/>
    <n v="1"/>
    <n v="1200"/>
    <n v="22"/>
    <x v="3"/>
    <x v="0"/>
    <n v="4"/>
    <n v="75"/>
    <n v="3"/>
    <n v="2"/>
    <n v="4"/>
    <x v="931"/>
    <n v="13953"/>
    <n v="3"/>
    <n v="14"/>
    <n v="3"/>
    <n v="1"/>
    <n v="80"/>
    <n v="2"/>
    <n v="12"/>
    <n v="2"/>
    <n v="6"/>
    <n v="2"/>
    <n v="3"/>
    <n v="3"/>
  </r>
  <r>
    <x v="1"/>
    <s v="Travel_Rarely"/>
    <x v="0"/>
    <s v="Current Employees"/>
    <x v="1"/>
    <x v="0"/>
    <x v="989"/>
    <n v="1394"/>
    <x v="1"/>
    <x v="1"/>
    <x v="1"/>
    <s v="Yes"/>
    <s v="Y"/>
    <n v="2"/>
    <n v="-2"/>
    <n v="0"/>
    <x v="2"/>
    <x v="1"/>
    <x v="1"/>
    <n v="0"/>
    <n v="1"/>
    <n v="1439"/>
    <n v="4"/>
    <x v="1"/>
    <x v="0"/>
    <n v="3"/>
    <n v="54"/>
    <n v="3"/>
    <n v="1"/>
    <n v="3"/>
    <x v="932"/>
    <n v="5182"/>
    <n v="7"/>
    <n v="15"/>
    <n v="3"/>
    <n v="4"/>
    <n v="80"/>
    <n v="0"/>
    <n v="8"/>
    <n v="3"/>
    <n v="6"/>
    <n v="4"/>
    <n v="1"/>
    <n v="3"/>
  </r>
  <r>
    <x v="1"/>
    <s v="Travel_Frequently"/>
    <x v="2"/>
    <s v="Current Employees"/>
    <x v="0"/>
    <x v="0"/>
    <x v="990"/>
    <n v="1395"/>
    <x v="1"/>
    <x v="0"/>
    <x v="1"/>
    <s v="No"/>
    <s v="Y"/>
    <n v="2"/>
    <n v="-2"/>
    <n v="0"/>
    <x v="3"/>
    <x v="1"/>
    <x v="1"/>
    <n v="0"/>
    <n v="1"/>
    <n v="1111"/>
    <n v="5"/>
    <x v="1"/>
    <x v="0"/>
    <n v="2"/>
    <n v="61"/>
    <n v="3"/>
    <n v="2"/>
    <n v="4"/>
    <x v="933"/>
    <n v="19293"/>
    <n v="6"/>
    <n v="13"/>
    <n v="3"/>
    <n v="1"/>
    <n v="80"/>
    <n v="0"/>
    <n v="8"/>
    <n v="4"/>
    <n v="5"/>
    <n v="4"/>
    <n v="1"/>
    <n v="2"/>
  </r>
  <r>
    <x v="1"/>
    <s v="Travel_Rarely"/>
    <x v="2"/>
    <s v="Current Employees"/>
    <x v="0"/>
    <x v="3"/>
    <x v="991"/>
    <n v="1396"/>
    <x v="1"/>
    <x v="0"/>
    <x v="1"/>
    <s v="Yes"/>
    <s v="Y"/>
    <n v="3"/>
    <n v="-2"/>
    <n v="0"/>
    <x v="5"/>
    <x v="1"/>
    <x v="1"/>
    <n v="0"/>
    <n v="1"/>
    <n v="499"/>
    <n v="2"/>
    <x v="1"/>
    <x v="0"/>
    <n v="3"/>
    <n v="36"/>
    <n v="3"/>
    <n v="2"/>
    <n v="2"/>
    <x v="934"/>
    <n v="20497"/>
    <n v="0"/>
    <n v="13"/>
    <n v="3"/>
    <n v="1"/>
    <n v="80"/>
    <n v="3"/>
    <n v="4"/>
    <n v="2"/>
    <n v="3"/>
    <n v="2"/>
    <n v="1"/>
    <n v="2"/>
  </r>
  <r>
    <x v="1"/>
    <s v="Non-Travel"/>
    <x v="0"/>
    <s v="Current Employees"/>
    <x v="1"/>
    <x v="0"/>
    <x v="992"/>
    <n v="1397"/>
    <x v="1"/>
    <x v="4"/>
    <x v="1"/>
    <s v="No"/>
    <s v="Y"/>
    <n v="2"/>
    <n v="-2"/>
    <n v="0"/>
    <x v="22"/>
    <x v="1"/>
    <x v="1"/>
    <n v="0"/>
    <n v="1"/>
    <n v="1485"/>
    <n v="25"/>
    <x v="0"/>
    <x v="0"/>
    <n v="3"/>
    <n v="71"/>
    <n v="3"/>
    <n v="3"/>
    <n v="3"/>
    <x v="935"/>
    <n v="3449"/>
    <n v="3"/>
    <n v="21"/>
    <n v="4"/>
    <n v="2"/>
    <n v="80"/>
    <n v="1"/>
    <n v="13"/>
    <n v="3"/>
    <n v="6"/>
    <n v="4"/>
    <n v="0"/>
    <n v="5"/>
  </r>
  <r>
    <x v="1"/>
    <s v="Travel_Rarely"/>
    <x v="2"/>
    <s v="Current Employees"/>
    <x v="0"/>
    <x v="0"/>
    <x v="993"/>
    <n v="1399"/>
    <x v="1"/>
    <x v="0"/>
    <x v="1"/>
    <s v="No"/>
    <s v="Y"/>
    <n v="3"/>
    <n v="-2"/>
    <n v="0"/>
    <x v="36"/>
    <x v="1"/>
    <x v="1"/>
    <n v="0"/>
    <n v="1"/>
    <n v="1372"/>
    <n v="18"/>
    <x v="1"/>
    <x v="0"/>
    <n v="1"/>
    <n v="93"/>
    <n v="4"/>
    <n v="2"/>
    <n v="3"/>
    <x v="936"/>
    <n v="12477"/>
    <n v="2"/>
    <n v="11"/>
    <n v="3"/>
    <n v="2"/>
    <n v="80"/>
    <n v="0"/>
    <n v="6"/>
    <n v="2"/>
    <n v="3"/>
    <n v="2"/>
    <n v="1"/>
    <n v="2"/>
  </r>
  <r>
    <x v="1"/>
    <s v="Travel_Frequently"/>
    <x v="1"/>
    <s v="Current Employees"/>
    <x v="1"/>
    <x v="2"/>
    <x v="994"/>
    <n v="1401"/>
    <x v="0"/>
    <x v="3"/>
    <x v="1"/>
    <s v="Yes"/>
    <s v="Y"/>
    <n v="3"/>
    <n v="-2"/>
    <n v="0"/>
    <x v="39"/>
    <x v="1"/>
    <x v="1"/>
    <n v="0"/>
    <n v="1"/>
    <n v="322"/>
    <n v="28"/>
    <x v="0"/>
    <x v="0"/>
    <n v="4"/>
    <n v="59"/>
    <n v="4"/>
    <n v="4"/>
    <n v="3"/>
    <x v="937"/>
    <n v="9731"/>
    <n v="2"/>
    <n v="11"/>
    <n v="3"/>
    <n v="2"/>
    <n v="80"/>
    <n v="1"/>
    <n v="24"/>
    <n v="2"/>
    <n v="5"/>
    <n v="3"/>
    <n v="0"/>
    <n v="2"/>
  </r>
  <r>
    <x v="1"/>
    <s v="Travel_Rarely"/>
    <x v="0"/>
    <s v="Current Employees"/>
    <x v="1"/>
    <x v="2"/>
    <x v="995"/>
    <n v="1402"/>
    <x v="0"/>
    <x v="1"/>
    <x v="0"/>
    <s v="Yes"/>
    <s v="Y"/>
    <n v="3"/>
    <n v="-2"/>
    <n v="0"/>
    <x v="23"/>
    <x v="1"/>
    <x v="1"/>
    <n v="0"/>
    <n v="1"/>
    <n v="930"/>
    <n v="6"/>
    <x v="3"/>
    <x v="0"/>
    <n v="1"/>
    <n v="73"/>
    <n v="2"/>
    <n v="2"/>
    <n v="3"/>
    <x v="938"/>
    <n v="20003"/>
    <n v="1"/>
    <n v="14"/>
    <n v="3"/>
    <n v="1"/>
    <n v="80"/>
    <n v="0"/>
    <n v="20"/>
    <n v="1"/>
    <n v="20"/>
    <n v="7"/>
    <n v="1"/>
    <n v="8"/>
  </r>
  <r>
    <x v="1"/>
    <s v="Travel_Rarely"/>
    <x v="2"/>
    <s v="Current Employees"/>
    <x v="0"/>
    <x v="3"/>
    <x v="996"/>
    <n v="1403"/>
    <x v="0"/>
    <x v="0"/>
    <x v="1"/>
    <s v="Yes"/>
    <s v="Y"/>
    <n v="3"/>
    <n v="-2"/>
    <n v="0"/>
    <x v="4"/>
    <x v="1"/>
    <x v="1"/>
    <n v="0"/>
    <n v="1"/>
    <n v="205"/>
    <n v="10"/>
    <x v="3"/>
    <x v="0"/>
    <n v="4"/>
    <n v="98"/>
    <n v="2"/>
    <n v="2"/>
    <n v="2"/>
    <x v="939"/>
    <n v="7100"/>
    <n v="1"/>
    <n v="11"/>
    <n v="3"/>
    <n v="4"/>
    <n v="80"/>
    <n v="0"/>
    <n v="6"/>
    <n v="3"/>
    <n v="6"/>
    <n v="2"/>
    <n v="4"/>
    <n v="4"/>
  </r>
  <r>
    <x v="0"/>
    <s v="Travel_Rarely"/>
    <x v="2"/>
    <s v="Ex-Employees"/>
    <x v="1"/>
    <x v="0"/>
    <x v="997"/>
    <n v="1405"/>
    <x v="0"/>
    <x v="1"/>
    <x v="0"/>
    <s v="Yes"/>
    <s v="Y"/>
    <n v="2"/>
    <n v="-2"/>
    <n v="0"/>
    <x v="4"/>
    <x v="0"/>
    <x v="0"/>
    <n v="1"/>
    <n v="0"/>
    <n v="135"/>
    <n v="17"/>
    <x v="2"/>
    <x v="0"/>
    <n v="4"/>
    <n v="51"/>
    <n v="3"/>
    <n v="1"/>
    <n v="3"/>
    <x v="940"/>
    <n v="25681"/>
    <n v="1"/>
    <n v="13"/>
    <n v="3"/>
    <n v="4"/>
    <n v="80"/>
    <n v="0"/>
    <n v="8"/>
    <n v="3"/>
    <n v="8"/>
    <n v="2"/>
    <n v="7"/>
    <n v="7"/>
  </r>
  <r>
    <x v="1"/>
    <s v="Travel_Rarely"/>
    <x v="2"/>
    <s v="Current Employees"/>
    <x v="1"/>
    <x v="2"/>
    <x v="998"/>
    <n v="1407"/>
    <x v="1"/>
    <x v="1"/>
    <x v="0"/>
    <s v="No"/>
    <s v="Y"/>
    <n v="2"/>
    <n v="-2"/>
    <n v="0"/>
    <x v="25"/>
    <x v="1"/>
    <x v="1"/>
    <n v="0"/>
    <n v="1"/>
    <n v="683"/>
    <n v="2"/>
    <x v="1"/>
    <x v="0"/>
    <n v="1"/>
    <n v="36"/>
    <n v="2"/>
    <n v="1"/>
    <n v="4"/>
    <x v="885"/>
    <n v="4050"/>
    <n v="0"/>
    <n v="12"/>
    <n v="3"/>
    <n v="4"/>
    <n v="80"/>
    <n v="0"/>
    <n v="5"/>
    <n v="3"/>
    <n v="4"/>
    <n v="3"/>
    <n v="1"/>
    <n v="1"/>
  </r>
  <r>
    <x v="1"/>
    <s v="Travel_Rarely"/>
    <x v="0"/>
    <s v="Current Employees"/>
    <x v="2"/>
    <x v="5"/>
    <x v="999"/>
    <n v="1408"/>
    <x v="0"/>
    <x v="5"/>
    <x v="1"/>
    <s v="No"/>
    <s v="Y"/>
    <n v="5"/>
    <n v="-2"/>
    <n v="0"/>
    <x v="19"/>
    <x v="1"/>
    <x v="1"/>
    <n v="0"/>
    <n v="1"/>
    <n v="1147"/>
    <n v="10"/>
    <x v="3"/>
    <x v="0"/>
    <n v="3"/>
    <n v="31"/>
    <n v="3"/>
    <n v="4"/>
    <n v="3"/>
    <x v="941"/>
    <n v="16616"/>
    <n v="0"/>
    <n v="14"/>
    <n v="3"/>
    <n v="3"/>
    <n v="80"/>
    <n v="1"/>
    <n v="21"/>
    <n v="3"/>
    <n v="20"/>
    <n v="7"/>
    <n v="0"/>
    <n v="9"/>
  </r>
  <r>
    <x v="1"/>
    <s v="Non-Travel"/>
    <x v="2"/>
    <s v="Current Employees"/>
    <x v="1"/>
    <x v="2"/>
    <x v="1000"/>
    <n v="1955"/>
    <x v="0"/>
    <x v="4"/>
    <x v="2"/>
    <s v="No"/>
    <s v="Y"/>
    <n v="6"/>
    <n v="-2"/>
    <n v="0"/>
    <x v="5"/>
    <x v="1"/>
    <x v="1"/>
    <n v="0"/>
    <n v="1"/>
    <n v="1146"/>
    <n v="15"/>
    <x v="2"/>
    <x v="0"/>
    <n v="3"/>
    <n v="34"/>
    <n v="3"/>
    <n v="2"/>
    <n v="4"/>
    <x v="942"/>
    <n v="16542"/>
    <n v="5"/>
    <n v="18"/>
    <n v="3"/>
    <n v="2"/>
    <n v="80"/>
    <n v="1"/>
    <n v="9"/>
    <n v="3"/>
    <n v="5"/>
    <n v="1"/>
    <n v="1"/>
    <n v="2"/>
  </r>
  <r>
    <x v="1"/>
    <s v="Non-Travel"/>
    <x v="0"/>
    <s v="Current Employees"/>
    <x v="1"/>
    <x v="2"/>
    <x v="1001"/>
    <n v="1662"/>
    <x v="0"/>
    <x v="3"/>
    <x v="1"/>
    <s v="No"/>
    <s v="Y"/>
    <n v="6"/>
    <n v="-2"/>
    <n v="0"/>
    <x v="9"/>
    <x v="1"/>
    <x v="1"/>
    <n v="0"/>
    <n v="1"/>
    <n v="894"/>
    <n v="1"/>
    <x v="2"/>
    <x v="0"/>
    <n v="4"/>
    <n v="33"/>
    <n v="2"/>
    <n v="2"/>
    <n v="3"/>
    <x v="943"/>
    <n v="15411"/>
    <n v="0"/>
    <n v="15"/>
    <n v="3"/>
    <n v="3"/>
    <n v="80"/>
    <n v="0"/>
    <n v="4"/>
    <n v="3"/>
    <n v="3"/>
    <n v="2"/>
    <n v="1"/>
    <n v="2"/>
  </r>
  <r>
    <x v="1"/>
    <s v="Non-Travel"/>
    <x v="0"/>
    <s v="Current Employees"/>
    <x v="1"/>
    <x v="0"/>
    <x v="1002"/>
    <n v="1630"/>
    <x v="0"/>
    <x v="4"/>
    <x v="1"/>
    <s v="No"/>
    <s v="Y"/>
    <n v="5"/>
    <n v="-2"/>
    <n v="0"/>
    <x v="10"/>
    <x v="1"/>
    <x v="1"/>
    <n v="0"/>
    <n v="1"/>
    <n v="208"/>
    <n v="8"/>
    <x v="2"/>
    <x v="0"/>
    <n v="3"/>
    <n v="52"/>
    <n v="3"/>
    <n v="2"/>
    <n v="3"/>
    <x v="691"/>
    <n v="12250"/>
    <n v="1"/>
    <n v="12"/>
    <n v="3"/>
    <n v="4"/>
    <n v="80"/>
    <n v="1"/>
    <n v="15"/>
    <n v="3"/>
    <n v="14"/>
    <n v="11"/>
    <n v="2"/>
    <n v="9"/>
  </r>
  <r>
    <x v="1"/>
    <s v="Non-Travel"/>
    <x v="1"/>
    <s v="Current Employees"/>
    <x v="1"/>
    <x v="2"/>
    <x v="1003"/>
    <n v="2000"/>
    <x v="0"/>
    <x v="7"/>
    <x v="1"/>
    <s v="No"/>
    <s v="Y"/>
    <n v="3"/>
    <n v="-2"/>
    <n v="0"/>
    <x v="40"/>
    <x v="1"/>
    <x v="1"/>
    <n v="0"/>
    <n v="1"/>
    <n v="1162"/>
    <n v="1"/>
    <x v="1"/>
    <x v="0"/>
    <n v="3"/>
    <n v="98"/>
    <n v="3"/>
    <n v="3"/>
    <n v="2"/>
    <x v="944"/>
    <n v="17231"/>
    <n v="0"/>
    <n v="18"/>
    <n v="3"/>
    <n v="1"/>
    <n v="80"/>
    <n v="2"/>
    <n v="14"/>
    <n v="1"/>
    <n v="13"/>
    <n v="8"/>
    <n v="5"/>
    <n v="12"/>
  </r>
  <r>
    <x v="1"/>
    <s v="Non-Travel"/>
    <x v="4"/>
    <s v="Current Employees"/>
    <x v="1"/>
    <x v="2"/>
    <x v="1004"/>
    <n v="1839"/>
    <x v="0"/>
    <x v="1"/>
    <x v="0"/>
    <s v="No"/>
    <s v="Y"/>
    <n v="4"/>
    <n v="-2"/>
    <n v="0"/>
    <x v="41"/>
    <x v="1"/>
    <x v="1"/>
    <n v="0"/>
    <n v="1"/>
    <n v="1431"/>
    <n v="14"/>
    <x v="3"/>
    <x v="0"/>
    <n v="2"/>
    <n v="33"/>
    <n v="3"/>
    <n v="1"/>
    <n v="3"/>
    <x v="945"/>
    <n v="8018"/>
    <n v="1"/>
    <n v="16"/>
    <n v="3"/>
    <n v="3"/>
    <n v="80"/>
    <n v="0"/>
    <n v="0"/>
    <n v="1"/>
    <n v="0"/>
    <n v="0"/>
    <n v="0"/>
    <n v="0"/>
  </r>
  <r>
    <x v="1"/>
    <s v="Non-Travel"/>
    <x v="0"/>
    <s v="Current Employees"/>
    <x v="0"/>
    <x v="0"/>
    <x v="1005"/>
    <n v="1929"/>
    <x v="0"/>
    <x v="0"/>
    <x v="1"/>
    <s v="No"/>
    <s v="Y"/>
    <n v="1"/>
    <n v="-2"/>
    <n v="0"/>
    <x v="22"/>
    <x v="1"/>
    <x v="1"/>
    <n v="0"/>
    <n v="1"/>
    <n v="1251"/>
    <n v="21"/>
    <x v="2"/>
    <x v="0"/>
    <n v="1"/>
    <n v="32"/>
    <n v="1"/>
    <n v="2"/>
    <n v="3"/>
    <x v="946"/>
    <n v="3987"/>
    <n v="6"/>
    <n v="19"/>
    <n v="3"/>
    <n v="3"/>
    <n v="80"/>
    <n v="1"/>
    <n v="10"/>
    <n v="3"/>
    <n v="3"/>
    <n v="2"/>
    <n v="1"/>
    <n v="2"/>
  </r>
  <r>
    <x v="1"/>
    <s v="Non-Travel"/>
    <x v="4"/>
    <s v="Current Employees"/>
    <x v="0"/>
    <x v="0"/>
    <x v="1006"/>
    <n v="1495"/>
    <x v="0"/>
    <x v="6"/>
    <x v="1"/>
    <s v="No"/>
    <s v="Y"/>
    <n v="2"/>
    <n v="-2"/>
    <n v="0"/>
    <x v="17"/>
    <x v="1"/>
    <x v="1"/>
    <n v="0"/>
    <n v="1"/>
    <n v="830"/>
    <n v="13"/>
    <x v="0"/>
    <x v="0"/>
    <n v="4"/>
    <n v="78"/>
    <n v="3"/>
    <n v="1"/>
    <n v="2"/>
    <x v="462"/>
    <n v="7103"/>
    <n v="1"/>
    <n v="13"/>
    <n v="3"/>
    <n v="3"/>
    <n v="80"/>
    <n v="1"/>
    <n v="1"/>
    <n v="3"/>
    <n v="1"/>
    <n v="0"/>
    <n v="0"/>
    <n v="0"/>
  </r>
  <r>
    <x v="1"/>
    <s v="Non-Travel"/>
    <x v="2"/>
    <s v="Current Employees"/>
    <x v="0"/>
    <x v="3"/>
    <x v="1007"/>
    <n v="1756"/>
    <x v="0"/>
    <x v="0"/>
    <x v="0"/>
    <s v="No"/>
    <s v="Y"/>
    <n v="2"/>
    <n v="-2"/>
    <n v="0"/>
    <x v="3"/>
    <x v="1"/>
    <x v="1"/>
    <n v="0"/>
    <n v="1"/>
    <n v="1283"/>
    <n v="2"/>
    <x v="3"/>
    <x v="0"/>
    <n v="4"/>
    <n v="62"/>
    <n v="3"/>
    <n v="2"/>
    <n v="2"/>
    <x v="947"/>
    <n v="10697"/>
    <n v="8"/>
    <n v="15"/>
    <n v="3"/>
    <n v="4"/>
    <n v="80"/>
    <n v="0"/>
    <n v="13"/>
    <n v="2"/>
    <n v="11"/>
    <n v="7"/>
    <n v="1"/>
    <n v="7"/>
  </r>
  <r>
    <x v="1"/>
    <s v="Travel_Frequently"/>
    <x v="1"/>
    <s v="Current Employees"/>
    <x v="1"/>
    <x v="2"/>
    <x v="1008"/>
    <n v="1900"/>
    <x v="0"/>
    <x v="5"/>
    <x v="2"/>
    <s v="No"/>
    <s v="Y"/>
    <n v="3"/>
    <n v="-2"/>
    <n v="0"/>
    <x v="26"/>
    <x v="1"/>
    <x v="1"/>
    <n v="0"/>
    <n v="1"/>
    <n v="117"/>
    <n v="22"/>
    <x v="3"/>
    <x v="0"/>
    <n v="4"/>
    <n v="58"/>
    <n v="3"/>
    <n v="4"/>
    <n v="4"/>
    <x v="948"/>
    <n v="2437"/>
    <n v="3"/>
    <n v="11"/>
    <n v="3"/>
    <n v="2"/>
    <n v="80"/>
    <n v="1"/>
    <n v="24"/>
    <n v="3"/>
    <n v="22"/>
    <n v="17"/>
    <n v="4"/>
    <n v="7"/>
  </r>
  <r>
    <x v="1"/>
    <s v="Travel_Frequently"/>
    <x v="0"/>
    <s v="Current Employees"/>
    <x v="1"/>
    <x v="0"/>
    <x v="1009"/>
    <n v="2025"/>
    <x v="0"/>
    <x v="3"/>
    <x v="2"/>
    <s v="No"/>
    <s v="Y"/>
    <n v="3"/>
    <n v="-2"/>
    <n v="0"/>
    <x v="9"/>
    <x v="1"/>
    <x v="1"/>
    <n v="0"/>
    <n v="1"/>
    <n v="688"/>
    <n v="4"/>
    <x v="0"/>
    <x v="0"/>
    <n v="4"/>
    <n v="97"/>
    <n v="3"/>
    <n v="2"/>
    <n v="2"/>
    <x v="949"/>
    <n v="9192"/>
    <n v="7"/>
    <n v="13"/>
    <n v="3"/>
    <n v="2"/>
    <n v="80"/>
    <n v="3"/>
    <n v="18"/>
    <n v="3"/>
    <n v="4"/>
    <n v="2"/>
    <n v="0"/>
    <n v="2"/>
  </r>
  <r>
    <x v="1"/>
    <s v="Travel_Frequently"/>
    <x v="0"/>
    <s v="Current Employees"/>
    <x v="1"/>
    <x v="2"/>
    <x v="1010"/>
    <n v="1760"/>
    <x v="0"/>
    <x v="2"/>
    <x v="1"/>
    <s v="No"/>
    <s v="Y"/>
    <n v="4"/>
    <n v="-2"/>
    <n v="0"/>
    <x v="8"/>
    <x v="1"/>
    <x v="1"/>
    <n v="0"/>
    <n v="1"/>
    <n v="594"/>
    <n v="2"/>
    <x v="0"/>
    <x v="0"/>
    <n v="3"/>
    <n v="75"/>
    <n v="2"/>
    <n v="1"/>
    <n v="2"/>
    <x v="950"/>
    <n v="15963"/>
    <n v="4"/>
    <n v="14"/>
    <n v="3"/>
    <n v="2"/>
    <n v="80"/>
    <n v="1"/>
    <n v="9"/>
    <n v="2"/>
    <n v="6"/>
    <n v="1"/>
    <n v="0"/>
    <n v="5"/>
  </r>
  <r>
    <x v="1"/>
    <s v="Travel_Frequently"/>
    <x v="2"/>
    <s v="Current Employees"/>
    <x v="1"/>
    <x v="0"/>
    <x v="1011"/>
    <n v="1870"/>
    <x v="0"/>
    <x v="1"/>
    <x v="1"/>
    <s v="No"/>
    <s v="Y"/>
    <n v="2"/>
    <n v="-2"/>
    <n v="0"/>
    <x v="4"/>
    <x v="1"/>
    <x v="1"/>
    <n v="0"/>
    <n v="1"/>
    <n v="1131"/>
    <n v="15"/>
    <x v="3"/>
    <x v="0"/>
    <n v="4"/>
    <n v="77"/>
    <n v="2"/>
    <n v="1"/>
    <n v="3"/>
    <x v="951"/>
    <n v="23844"/>
    <n v="0"/>
    <n v="19"/>
    <n v="3"/>
    <n v="4"/>
    <n v="80"/>
    <n v="1"/>
    <n v="8"/>
    <n v="2"/>
    <n v="7"/>
    <n v="6"/>
    <n v="7"/>
    <n v="3"/>
  </r>
  <r>
    <x v="1"/>
    <s v="Travel_Frequently"/>
    <x v="0"/>
    <s v="Current Employees"/>
    <x v="1"/>
    <x v="4"/>
    <x v="1012"/>
    <n v="1985"/>
    <x v="0"/>
    <x v="2"/>
    <x v="1"/>
    <s v="No"/>
    <s v="Y"/>
    <n v="2"/>
    <n v="-2"/>
    <n v="0"/>
    <x v="32"/>
    <x v="1"/>
    <x v="1"/>
    <n v="0"/>
    <n v="1"/>
    <n v="692"/>
    <n v="11"/>
    <x v="3"/>
    <x v="0"/>
    <n v="4"/>
    <n v="73"/>
    <n v="3"/>
    <n v="2"/>
    <n v="4"/>
    <x v="952"/>
    <n v="26849"/>
    <n v="1"/>
    <n v="11"/>
    <n v="3"/>
    <n v="1"/>
    <n v="80"/>
    <n v="1"/>
    <n v="10"/>
    <n v="4"/>
    <n v="10"/>
    <n v="9"/>
    <n v="9"/>
    <n v="4"/>
  </r>
  <r>
    <x v="1"/>
    <s v="Travel_Frequently"/>
    <x v="2"/>
    <s v="Current Employees"/>
    <x v="1"/>
    <x v="0"/>
    <x v="1013"/>
    <n v="1513"/>
    <x v="0"/>
    <x v="2"/>
    <x v="1"/>
    <s v="No"/>
    <s v="Y"/>
    <n v="3"/>
    <n v="-2"/>
    <n v="0"/>
    <x v="11"/>
    <x v="1"/>
    <x v="1"/>
    <n v="0"/>
    <n v="1"/>
    <n v="410"/>
    <n v="2"/>
    <x v="1"/>
    <x v="0"/>
    <n v="4"/>
    <n v="97"/>
    <n v="3"/>
    <n v="1"/>
    <n v="2"/>
    <x v="953"/>
    <n v="4668"/>
    <n v="0"/>
    <n v="13"/>
    <n v="3"/>
    <n v="3"/>
    <n v="80"/>
    <n v="3"/>
    <n v="4"/>
    <n v="3"/>
    <n v="3"/>
    <n v="2"/>
    <n v="0"/>
    <n v="2"/>
  </r>
  <r>
    <x v="1"/>
    <s v="Travel_Frequently"/>
    <x v="0"/>
    <s v="Current Employees"/>
    <x v="1"/>
    <x v="2"/>
    <x v="1014"/>
    <n v="1633"/>
    <x v="0"/>
    <x v="3"/>
    <x v="0"/>
    <s v="No"/>
    <s v="Y"/>
    <n v="2"/>
    <n v="-2"/>
    <n v="0"/>
    <x v="22"/>
    <x v="1"/>
    <x v="1"/>
    <n v="0"/>
    <n v="1"/>
    <n v="711"/>
    <n v="4"/>
    <x v="3"/>
    <x v="0"/>
    <n v="1"/>
    <n v="81"/>
    <n v="3"/>
    <n v="2"/>
    <n v="3"/>
    <x v="954"/>
    <n v="3140"/>
    <n v="0"/>
    <n v="13"/>
    <n v="3"/>
    <n v="4"/>
    <n v="80"/>
    <n v="0"/>
    <n v="10"/>
    <n v="1"/>
    <n v="9"/>
    <n v="2"/>
    <n v="3"/>
    <n v="8"/>
  </r>
  <r>
    <x v="1"/>
    <s v="Travel_Frequently"/>
    <x v="0"/>
    <s v="Current Employees"/>
    <x v="1"/>
    <x v="2"/>
    <x v="1015"/>
    <n v="1480"/>
    <x v="0"/>
    <x v="2"/>
    <x v="0"/>
    <s v="No"/>
    <s v="Y"/>
    <n v="3"/>
    <n v="-2"/>
    <n v="0"/>
    <x v="19"/>
    <x v="1"/>
    <x v="1"/>
    <n v="0"/>
    <n v="1"/>
    <n v="748"/>
    <n v="9"/>
    <x v="0"/>
    <x v="0"/>
    <n v="1"/>
    <n v="74"/>
    <n v="3"/>
    <n v="1"/>
    <n v="4"/>
    <x v="955"/>
    <n v="16458"/>
    <n v="1"/>
    <n v="13"/>
    <n v="3"/>
    <n v="3"/>
    <n v="80"/>
    <n v="0"/>
    <n v="12"/>
    <n v="3"/>
    <n v="12"/>
    <n v="9"/>
    <n v="5"/>
    <n v="8"/>
  </r>
  <r>
    <x v="1"/>
    <s v="Travel_Frequently"/>
    <x v="2"/>
    <s v="Current Employees"/>
    <x v="1"/>
    <x v="4"/>
    <x v="1016"/>
    <n v="1745"/>
    <x v="0"/>
    <x v="1"/>
    <x v="0"/>
    <s v="No"/>
    <s v="Y"/>
    <n v="2"/>
    <n v="-2"/>
    <n v="0"/>
    <x v="7"/>
    <x v="1"/>
    <x v="1"/>
    <n v="0"/>
    <n v="1"/>
    <n v="1312"/>
    <n v="2"/>
    <x v="2"/>
    <x v="0"/>
    <n v="4"/>
    <n v="78"/>
    <n v="2"/>
    <n v="1"/>
    <n v="4"/>
    <x v="775"/>
    <n v="26427"/>
    <n v="0"/>
    <n v="16"/>
    <n v="3"/>
    <n v="4"/>
    <n v="80"/>
    <n v="0"/>
    <n v="10"/>
    <n v="3"/>
    <n v="9"/>
    <n v="7"/>
    <n v="0"/>
    <n v="7"/>
  </r>
  <r>
    <x v="1"/>
    <s v="Travel_Frequently"/>
    <x v="0"/>
    <s v="Current Employees"/>
    <x v="0"/>
    <x v="3"/>
    <x v="1017"/>
    <n v="1481"/>
    <x v="0"/>
    <x v="0"/>
    <x v="1"/>
    <s v="No"/>
    <s v="Y"/>
    <n v="4"/>
    <n v="-2"/>
    <n v="0"/>
    <x v="20"/>
    <x v="1"/>
    <x v="1"/>
    <n v="0"/>
    <n v="1"/>
    <n v="383"/>
    <n v="1"/>
    <x v="4"/>
    <x v="0"/>
    <n v="1"/>
    <n v="79"/>
    <n v="3"/>
    <n v="2"/>
    <n v="2"/>
    <x v="956"/>
    <n v="9282"/>
    <n v="7"/>
    <n v="12"/>
    <n v="3"/>
    <n v="3"/>
    <n v="80"/>
    <n v="1"/>
    <n v="11"/>
    <n v="2"/>
    <n v="1"/>
    <n v="0"/>
    <n v="0"/>
    <n v="0"/>
  </r>
  <r>
    <x v="1"/>
    <s v="Travel_Frequently"/>
    <x v="2"/>
    <s v="Current Employees"/>
    <x v="0"/>
    <x v="3"/>
    <x v="1018"/>
    <n v="1833"/>
    <x v="0"/>
    <x v="0"/>
    <x v="1"/>
    <s v="No"/>
    <s v="Y"/>
    <n v="3"/>
    <n v="-2"/>
    <n v="0"/>
    <x v="12"/>
    <x v="1"/>
    <x v="1"/>
    <n v="0"/>
    <n v="1"/>
    <n v="1125"/>
    <n v="7"/>
    <x v="2"/>
    <x v="0"/>
    <n v="1"/>
    <n v="68"/>
    <n v="3"/>
    <n v="3"/>
    <n v="2"/>
    <x v="957"/>
    <n v="8277"/>
    <n v="2"/>
    <n v="14"/>
    <n v="3"/>
    <n v="4"/>
    <n v="80"/>
    <n v="2"/>
    <n v="9"/>
    <n v="3"/>
    <n v="3"/>
    <n v="2"/>
    <n v="2"/>
    <n v="2"/>
  </r>
  <r>
    <x v="1"/>
    <s v="Travel_Rarely"/>
    <x v="2"/>
    <s v="Current Employees"/>
    <x v="2"/>
    <x v="5"/>
    <x v="1019"/>
    <n v="1987"/>
    <x v="0"/>
    <x v="8"/>
    <x v="1"/>
    <s v="No"/>
    <s v="Y"/>
    <n v="3"/>
    <n v="-2"/>
    <n v="0"/>
    <x v="36"/>
    <x v="1"/>
    <x v="1"/>
    <n v="0"/>
    <n v="1"/>
    <n v="309"/>
    <n v="2"/>
    <x v="3"/>
    <x v="0"/>
    <n v="3"/>
    <n v="82"/>
    <n v="3"/>
    <n v="1"/>
    <n v="2"/>
    <x v="467"/>
    <n v="19655"/>
    <n v="4"/>
    <n v="14"/>
    <n v="3"/>
    <n v="3"/>
    <n v="80"/>
    <n v="0"/>
    <n v="6"/>
    <n v="3"/>
    <n v="2"/>
    <n v="0"/>
    <n v="1"/>
    <n v="2"/>
  </r>
  <r>
    <x v="1"/>
    <s v="Travel_Rarely"/>
    <x v="1"/>
    <s v="Current Employees"/>
    <x v="2"/>
    <x v="0"/>
    <x v="1020"/>
    <n v="1625"/>
    <x v="0"/>
    <x v="5"/>
    <x v="1"/>
    <s v="No"/>
    <s v="Y"/>
    <n v="2"/>
    <n v="-2"/>
    <n v="0"/>
    <x v="40"/>
    <x v="1"/>
    <x v="1"/>
    <n v="0"/>
    <n v="1"/>
    <n v="1176"/>
    <n v="26"/>
    <x v="2"/>
    <x v="0"/>
    <n v="4"/>
    <n v="98"/>
    <n v="3"/>
    <n v="5"/>
    <n v="3"/>
    <x v="958"/>
    <n v="5220"/>
    <n v="3"/>
    <n v="11"/>
    <n v="3"/>
    <n v="3"/>
    <n v="80"/>
    <n v="1"/>
    <n v="27"/>
    <n v="3"/>
    <n v="5"/>
    <n v="2"/>
    <n v="1"/>
    <n v="0"/>
  </r>
  <r>
    <x v="1"/>
    <s v="Travel_Rarely"/>
    <x v="2"/>
    <s v="Current Employees"/>
    <x v="2"/>
    <x v="2"/>
    <x v="1021"/>
    <n v="1461"/>
    <x v="0"/>
    <x v="8"/>
    <x v="0"/>
    <s v="No"/>
    <s v="Y"/>
    <n v="3"/>
    <n v="-2"/>
    <n v="0"/>
    <x v="12"/>
    <x v="1"/>
    <x v="1"/>
    <n v="0"/>
    <n v="1"/>
    <n v="1398"/>
    <n v="8"/>
    <x v="0"/>
    <x v="0"/>
    <n v="4"/>
    <n v="96"/>
    <n v="4"/>
    <n v="1"/>
    <n v="2"/>
    <x v="959"/>
    <n v="24609"/>
    <n v="9"/>
    <n v="18"/>
    <n v="3"/>
    <n v="4"/>
    <n v="80"/>
    <n v="0"/>
    <n v="8"/>
    <n v="3"/>
    <n v="3"/>
    <n v="2"/>
    <n v="0"/>
    <n v="2"/>
  </r>
  <r>
    <x v="1"/>
    <s v="Travel_Rarely"/>
    <x v="2"/>
    <s v="Current Employees"/>
    <x v="1"/>
    <x v="2"/>
    <x v="1022"/>
    <n v="1916"/>
    <x v="0"/>
    <x v="2"/>
    <x v="2"/>
    <s v="No"/>
    <s v="Y"/>
    <n v="0"/>
    <n v="-2"/>
    <n v="0"/>
    <x v="12"/>
    <x v="1"/>
    <x v="1"/>
    <n v="0"/>
    <n v="1"/>
    <n v="471"/>
    <n v="4"/>
    <x v="3"/>
    <x v="0"/>
    <n v="1"/>
    <n v="62"/>
    <n v="4"/>
    <n v="1"/>
    <n v="3"/>
    <x v="960"/>
    <n v="16031"/>
    <n v="8"/>
    <n v="12"/>
    <n v="3"/>
    <n v="2"/>
    <n v="80"/>
    <n v="1"/>
    <n v="4"/>
    <n v="2"/>
    <n v="2"/>
    <n v="2"/>
    <n v="2"/>
    <n v="2"/>
  </r>
  <r>
    <x v="1"/>
    <s v="Travel_Rarely"/>
    <x v="0"/>
    <s v="Current Employees"/>
    <x v="1"/>
    <x v="0"/>
    <x v="1023"/>
    <n v="1829"/>
    <x v="0"/>
    <x v="4"/>
    <x v="2"/>
    <s v="No"/>
    <s v="Y"/>
    <n v="3"/>
    <n v="-2"/>
    <n v="0"/>
    <x v="32"/>
    <x v="1"/>
    <x v="1"/>
    <n v="0"/>
    <n v="1"/>
    <n v="750"/>
    <n v="12"/>
    <x v="3"/>
    <x v="0"/>
    <n v="2"/>
    <n v="47"/>
    <n v="3"/>
    <n v="2"/>
    <n v="3"/>
    <x v="961"/>
    <n v="10748"/>
    <n v="2"/>
    <n v="12"/>
    <n v="3"/>
    <n v="2"/>
    <n v="80"/>
    <n v="1"/>
    <n v="15"/>
    <n v="3"/>
    <n v="7"/>
    <n v="4"/>
    <n v="7"/>
    <n v="7"/>
  </r>
  <r>
    <x v="1"/>
    <s v="Travel_Rarely"/>
    <x v="0"/>
    <s v="Current Employees"/>
    <x v="1"/>
    <x v="0"/>
    <x v="1024"/>
    <n v="1822"/>
    <x v="0"/>
    <x v="4"/>
    <x v="2"/>
    <s v="No"/>
    <s v="Y"/>
    <n v="3"/>
    <n v="-2"/>
    <n v="0"/>
    <x v="32"/>
    <x v="1"/>
    <x v="1"/>
    <n v="0"/>
    <n v="1"/>
    <n v="1194"/>
    <n v="1"/>
    <x v="3"/>
    <x v="0"/>
    <n v="3"/>
    <n v="52"/>
    <n v="3"/>
    <n v="2"/>
    <n v="4"/>
    <x v="962"/>
    <n v="9060"/>
    <n v="4"/>
    <n v="17"/>
    <n v="3"/>
    <n v="4"/>
    <n v="80"/>
    <n v="1"/>
    <n v="12"/>
    <n v="3"/>
    <n v="5"/>
    <n v="3"/>
    <n v="0"/>
    <n v="3"/>
  </r>
  <r>
    <x v="1"/>
    <s v="Travel_Rarely"/>
    <x v="2"/>
    <s v="Current Employees"/>
    <x v="1"/>
    <x v="4"/>
    <x v="1025"/>
    <n v="1762"/>
    <x v="0"/>
    <x v="1"/>
    <x v="2"/>
    <s v="No"/>
    <s v="Y"/>
    <n v="2"/>
    <n v="-2"/>
    <n v="0"/>
    <x v="11"/>
    <x v="1"/>
    <x v="1"/>
    <n v="0"/>
    <n v="1"/>
    <n v="590"/>
    <n v="4"/>
    <x v="3"/>
    <x v="0"/>
    <n v="4"/>
    <n v="91"/>
    <n v="2"/>
    <n v="1"/>
    <n v="4"/>
    <x v="959"/>
    <n v="10007"/>
    <n v="1"/>
    <n v="13"/>
    <n v="3"/>
    <n v="3"/>
    <n v="80"/>
    <n v="1"/>
    <n v="1"/>
    <n v="3"/>
    <n v="1"/>
    <n v="0"/>
    <n v="0"/>
    <n v="0"/>
  </r>
  <r>
    <x v="1"/>
    <s v="Travel_Rarely"/>
    <x v="2"/>
    <s v="Current Employees"/>
    <x v="1"/>
    <x v="0"/>
    <x v="1026"/>
    <n v="1658"/>
    <x v="0"/>
    <x v="1"/>
    <x v="2"/>
    <s v="No"/>
    <s v="Y"/>
    <n v="2"/>
    <n v="-2"/>
    <n v="0"/>
    <x v="13"/>
    <x v="1"/>
    <x v="1"/>
    <n v="0"/>
    <n v="1"/>
    <n v="1130"/>
    <n v="3"/>
    <x v="3"/>
    <x v="0"/>
    <n v="4"/>
    <n v="66"/>
    <n v="3"/>
    <n v="2"/>
    <n v="2"/>
    <x v="963"/>
    <n v="19332"/>
    <n v="1"/>
    <n v="12"/>
    <n v="3"/>
    <n v="3"/>
    <n v="80"/>
    <n v="1"/>
    <n v="11"/>
    <n v="3"/>
    <n v="11"/>
    <n v="8"/>
    <n v="7"/>
    <n v="9"/>
  </r>
  <r>
    <x v="1"/>
    <s v="Travel_Rarely"/>
    <x v="1"/>
    <s v="Current Employees"/>
    <x v="1"/>
    <x v="1"/>
    <x v="1027"/>
    <n v="1635"/>
    <x v="0"/>
    <x v="3"/>
    <x v="2"/>
    <s v="No"/>
    <s v="Y"/>
    <n v="3"/>
    <n v="-2"/>
    <n v="0"/>
    <x v="28"/>
    <x v="1"/>
    <x v="1"/>
    <n v="0"/>
    <n v="1"/>
    <n v="1329"/>
    <n v="2"/>
    <x v="0"/>
    <x v="0"/>
    <n v="4"/>
    <n v="59"/>
    <n v="2"/>
    <n v="2"/>
    <n v="4"/>
    <x v="964"/>
    <n v="5388"/>
    <n v="1"/>
    <n v="19"/>
    <n v="3"/>
    <n v="1"/>
    <n v="80"/>
    <n v="2"/>
    <n v="10"/>
    <n v="3"/>
    <n v="10"/>
    <n v="7"/>
    <n v="3"/>
    <n v="9"/>
  </r>
  <r>
    <x v="1"/>
    <s v="Travel_Rarely"/>
    <x v="1"/>
    <s v="Current Employees"/>
    <x v="1"/>
    <x v="0"/>
    <x v="1028"/>
    <n v="1656"/>
    <x v="0"/>
    <x v="7"/>
    <x v="2"/>
    <s v="No"/>
    <s v="Y"/>
    <n v="3"/>
    <n v="-2"/>
    <n v="0"/>
    <x v="24"/>
    <x v="1"/>
    <x v="1"/>
    <n v="0"/>
    <n v="1"/>
    <n v="813"/>
    <n v="17"/>
    <x v="4"/>
    <x v="0"/>
    <n v="4"/>
    <n v="50"/>
    <n v="2"/>
    <n v="3"/>
    <n v="3"/>
    <x v="965"/>
    <n v="21981"/>
    <n v="5"/>
    <n v="15"/>
    <n v="3"/>
    <n v="3"/>
    <n v="80"/>
    <n v="3"/>
    <n v="19"/>
    <n v="3"/>
    <n v="14"/>
    <n v="11"/>
    <n v="1"/>
    <n v="11"/>
  </r>
  <r>
    <x v="1"/>
    <s v="Travel_Rarely"/>
    <x v="2"/>
    <s v="Current Employees"/>
    <x v="1"/>
    <x v="2"/>
    <x v="1029"/>
    <n v="1502"/>
    <x v="0"/>
    <x v="2"/>
    <x v="1"/>
    <s v="No"/>
    <s v="Y"/>
    <n v="5"/>
    <n v="-2"/>
    <n v="0"/>
    <x v="3"/>
    <x v="1"/>
    <x v="1"/>
    <n v="0"/>
    <n v="1"/>
    <n v="1099"/>
    <n v="4"/>
    <x v="2"/>
    <x v="0"/>
    <n v="1"/>
    <n v="82"/>
    <n v="2"/>
    <n v="1"/>
    <n v="2"/>
    <x v="966"/>
    <n v="8192"/>
    <n v="8"/>
    <n v="11"/>
    <n v="3"/>
    <n v="4"/>
    <n v="80"/>
    <n v="0"/>
    <n v="8"/>
    <n v="3"/>
    <n v="5"/>
    <n v="4"/>
    <n v="0"/>
    <n v="2"/>
  </r>
  <r>
    <x v="1"/>
    <s v="Travel_Rarely"/>
    <x v="0"/>
    <s v="Current Employees"/>
    <x v="1"/>
    <x v="2"/>
    <x v="1030"/>
    <n v="1866"/>
    <x v="0"/>
    <x v="5"/>
    <x v="1"/>
    <s v="No"/>
    <s v="Y"/>
    <n v="2"/>
    <n v="-2"/>
    <n v="0"/>
    <x v="23"/>
    <x v="1"/>
    <x v="1"/>
    <n v="0"/>
    <n v="1"/>
    <n v="823"/>
    <n v="6"/>
    <x v="3"/>
    <x v="0"/>
    <n v="1"/>
    <n v="81"/>
    <n v="2"/>
    <n v="5"/>
    <n v="3"/>
    <x v="967"/>
    <n v="22539"/>
    <n v="7"/>
    <n v="13"/>
    <n v="3"/>
    <n v="4"/>
    <n v="80"/>
    <n v="0"/>
    <n v="21"/>
    <n v="3"/>
    <n v="16"/>
    <n v="12"/>
    <n v="6"/>
    <n v="14"/>
  </r>
  <r>
    <x v="1"/>
    <s v="Travel_Rarely"/>
    <x v="1"/>
    <s v="Current Employees"/>
    <x v="1"/>
    <x v="4"/>
    <x v="1031"/>
    <n v="1786"/>
    <x v="0"/>
    <x v="5"/>
    <x v="1"/>
    <s v="No"/>
    <s v="Y"/>
    <n v="2"/>
    <n v="-2"/>
    <n v="0"/>
    <x v="31"/>
    <x v="1"/>
    <x v="1"/>
    <n v="0"/>
    <n v="1"/>
    <n v="942"/>
    <n v="3"/>
    <x v="3"/>
    <x v="0"/>
    <n v="4"/>
    <n v="53"/>
    <n v="3"/>
    <n v="3"/>
    <n v="4"/>
    <x v="968"/>
    <n v="22984"/>
    <n v="2"/>
    <n v="11"/>
    <n v="3"/>
    <n v="4"/>
    <n v="80"/>
    <n v="0"/>
    <n v="15"/>
    <n v="3"/>
    <n v="2"/>
    <n v="2"/>
    <n v="2"/>
    <n v="2"/>
  </r>
  <r>
    <x v="1"/>
    <s v="Travel_Rarely"/>
    <x v="2"/>
    <s v="Current Employees"/>
    <x v="1"/>
    <x v="0"/>
    <x v="1032"/>
    <n v="1701"/>
    <x v="0"/>
    <x v="1"/>
    <x v="1"/>
    <s v="No"/>
    <s v="Y"/>
    <n v="3"/>
    <n v="-2"/>
    <n v="0"/>
    <x v="13"/>
    <x v="1"/>
    <x v="1"/>
    <n v="0"/>
    <n v="1"/>
    <n v="678"/>
    <n v="19"/>
    <x v="3"/>
    <x v="0"/>
    <n v="2"/>
    <n v="35"/>
    <n v="2"/>
    <n v="1"/>
    <n v="4"/>
    <x v="969"/>
    <n v="20338"/>
    <n v="1"/>
    <n v="12"/>
    <n v="3"/>
    <n v="2"/>
    <n v="80"/>
    <n v="0"/>
    <n v="10"/>
    <n v="3"/>
    <n v="10"/>
    <n v="9"/>
    <n v="8"/>
    <n v="7"/>
  </r>
  <r>
    <x v="1"/>
    <s v="Travel_Rarely"/>
    <x v="2"/>
    <s v="Current Employees"/>
    <x v="1"/>
    <x v="2"/>
    <x v="1033"/>
    <n v="1647"/>
    <x v="0"/>
    <x v="1"/>
    <x v="1"/>
    <s v="No"/>
    <s v="Y"/>
    <n v="0"/>
    <n v="-2"/>
    <n v="0"/>
    <x v="4"/>
    <x v="1"/>
    <x v="1"/>
    <n v="0"/>
    <n v="1"/>
    <n v="486"/>
    <n v="8"/>
    <x v="3"/>
    <x v="0"/>
    <n v="2"/>
    <n v="86"/>
    <n v="4"/>
    <n v="1"/>
    <n v="3"/>
    <x v="970"/>
    <n v="22490"/>
    <n v="7"/>
    <n v="17"/>
    <n v="3"/>
    <n v="1"/>
    <n v="80"/>
    <n v="0"/>
    <n v="5"/>
    <n v="3"/>
    <n v="3"/>
    <n v="2"/>
    <n v="0"/>
    <n v="2"/>
  </r>
  <r>
    <x v="1"/>
    <s v="Travel_Rarely"/>
    <x v="1"/>
    <s v="Current Employees"/>
    <x v="1"/>
    <x v="1"/>
    <x v="1034"/>
    <n v="1409"/>
    <x v="0"/>
    <x v="2"/>
    <x v="1"/>
    <s v="No"/>
    <s v="Y"/>
    <n v="2"/>
    <n v="-2"/>
    <n v="0"/>
    <x v="39"/>
    <x v="1"/>
    <x v="1"/>
    <n v="0"/>
    <n v="1"/>
    <n v="258"/>
    <n v="8"/>
    <x v="2"/>
    <x v="0"/>
    <n v="3"/>
    <n v="54"/>
    <n v="3"/>
    <n v="1"/>
    <n v="3"/>
    <x v="971"/>
    <n v="17363"/>
    <n v="9"/>
    <n v="13"/>
    <n v="3"/>
    <n v="3"/>
    <n v="80"/>
    <n v="0"/>
    <n v="12"/>
    <n v="1"/>
    <n v="5"/>
    <n v="4"/>
    <n v="0"/>
    <n v="4"/>
  </r>
  <r>
    <x v="1"/>
    <s v="Travel_Rarely"/>
    <x v="0"/>
    <s v="Current Employees"/>
    <x v="1"/>
    <x v="2"/>
    <x v="1035"/>
    <n v="2015"/>
    <x v="0"/>
    <x v="7"/>
    <x v="1"/>
    <s v="No"/>
    <s v="Y"/>
    <n v="3"/>
    <n v="-2"/>
    <n v="0"/>
    <x v="8"/>
    <x v="1"/>
    <x v="1"/>
    <n v="0"/>
    <n v="1"/>
    <n v="201"/>
    <n v="10"/>
    <x v="3"/>
    <x v="0"/>
    <n v="2"/>
    <n v="99"/>
    <n v="1"/>
    <n v="3"/>
    <n v="3"/>
    <x v="972"/>
    <n v="3376"/>
    <n v="3"/>
    <n v="12"/>
    <n v="3"/>
    <n v="1"/>
    <n v="80"/>
    <n v="1"/>
    <n v="20"/>
    <n v="3"/>
    <n v="18"/>
    <n v="16"/>
    <n v="1"/>
    <n v="11"/>
  </r>
  <r>
    <x v="1"/>
    <s v="Travel_Rarely"/>
    <x v="0"/>
    <s v="Current Employees"/>
    <x v="1"/>
    <x v="2"/>
    <x v="1036"/>
    <n v="1640"/>
    <x v="0"/>
    <x v="1"/>
    <x v="1"/>
    <s v="No"/>
    <s v="Y"/>
    <n v="2"/>
    <n v="-2"/>
    <n v="0"/>
    <x v="2"/>
    <x v="1"/>
    <x v="1"/>
    <n v="0"/>
    <n v="1"/>
    <n v="1470"/>
    <n v="10"/>
    <x v="3"/>
    <x v="0"/>
    <n v="2"/>
    <n v="71"/>
    <n v="3"/>
    <n v="1"/>
    <n v="2"/>
    <x v="973"/>
    <n v="9953"/>
    <n v="1"/>
    <n v="11"/>
    <n v="3"/>
    <n v="1"/>
    <n v="80"/>
    <n v="1"/>
    <n v="8"/>
    <n v="1"/>
    <n v="8"/>
    <n v="4"/>
    <n v="7"/>
    <n v="7"/>
  </r>
  <r>
    <x v="1"/>
    <s v="Travel_Rarely"/>
    <x v="2"/>
    <s v="Current Employees"/>
    <x v="1"/>
    <x v="1"/>
    <x v="1037"/>
    <n v="1544"/>
    <x v="0"/>
    <x v="4"/>
    <x v="1"/>
    <s v="No"/>
    <s v="Y"/>
    <n v="3"/>
    <n v="-2"/>
    <n v="0"/>
    <x v="11"/>
    <x v="1"/>
    <x v="1"/>
    <n v="0"/>
    <n v="1"/>
    <n v="441"/>
    <n v="8"/>
    <x v="1"/>
    <x v="0"/>
    <n v="3"/>
    <n v="39"/>
    <n v="1"/>
    <n v="2"/>
    <n v="3"/>
    <x v="974"/>
    <n v="7288"/>
    <n v="3"/>
    <n v="13"/>
    <n v="3"/>
    <n v="3"/>
    <n v="80"/>
    <n v="1"/>
    <n v="9"/>
    <n v="3"/>
    <n v="7"/>
    <n v="7"/>
    <n v="0"/>
    <n v="7"/>
  </r>
  <r>
    <x v="1"/>
    <s v="Travel_Rarely"/>
    <x v="0"/>
    <s v="Current Employees"/>
    <x v="1"/>
    <x v="0"/>
    <x v="1038"/>
    <n v="2052"/>
    <x v="0"/>
    <x v="1"/>
    <x v="1"/>
    <s v="No"/>
    <s v="Y"/>
    <n v="5"/>
    <n v="-2"/>
    <n v="0"/>
    <x v="10"/>
    <x v="1"/>
    <x v="1"/>
    <n v="0"/>
    <n v="1"/>
    <n v="287"/>
    <n v="1"/>
    <x v="2"/>
    <x v="0"/>
    <n v="3"/>
    <n v="62"/>
    <n v="1"/>
    <n v="1"/>
    <n v="4"/>
    <x v="975"/>
    <n v="8952"/>
    <n v="1"/>
    <n v="12"/>
    <n v="3"/>
    <n v="4"/>
    <n v="80"/>
    <n v="1"/>
    <n v="4"/>
    <n v="3"/>
    <n v="4"/>
    <n v="3"/>
    <n v="1"/>
    <n v="1"/>
  </r>
  <r>
    <x v="1"/>
    <s v="Travel_Rarely"/>
    <x v="0"/>
    <s v="Current Employees"/>
    <x v="1"/>
    <x v="0"/>
    <x v="1039"/>
    <n v="1802"/>
    <x v="0"/>
    <x v="2"/>
    <x v="1"/>
    <s v="No"/>
    <s v="Y"/>
    <n v="5"/>
    <n v="-2"/>
    <n v="0"/>
    <x v="32"/>
    <x v="1"/>
    <x v="1"/>
    <n v="0"/>
    <n v="1"/>
    <n v="616"/>
    <n v="2"/>
    <x v="0"/>
    <x v="0"/>
    <n v="3"/>
    <n v="99"/>
    <n v="3"/>
    <n v="1"/>
    <n v="3"/>
    <x v="976"/>
    <n v="25605"/>
    <n v="4"/>
    <n v="17"/>
    <n v="3"/>
    <n v="4"/>
    <n v="80"/>
    <n v="1"/>
    <n v="7"/>
    <n v="2"/>
    <n v="4"/>
    <n v="3"/>
    <n v="0"/>
    <n v="2"/>
  </r>
  <r>
    <x v="1"/>
    <s v="Travel_Rarely"/>
    <x v="1"/>
    <s v="Current Employees"/>
    <x v="1"/>
    <x v="0"/>
    <x v="1040"/>
    <n v="1617"/>
    <x v="0"/>
    <x v="2"/>
    <x v="1"/>
    <s v="No"/>
    <s v="Y"/>
    <n v="3"/>
    <n v="-2"/>
    <n v="0"/>
    <x v="1"/>
    <x v="1"/>
    <x v="1"/>
    <n v="0"/>
    <n v="1"/>
    <n v="722"/>
    <n v="25"/>
    <x v="2"/>
    <x v="0"/>
    <n v="3"/>
    <n v="84"/>
    <n v="3"/>
    <n v="1"/>
    <n v="3"/>
    <x v="977"/>
    <n v="22102"/>
    <n v="1"/>
    <n v="14"/>
    <n v="3"/>
    <n v="4"/>
    <n v="80"/>
    <n v="1"/>
    <n v="10"/>
    <n v="2"/>
    <n v="9"/>
    <n v="6"/>
    <n v="1"/>
    <n v="4"/>
  </r>
  <r>
    <x v="1"/>
    <s v="Travel_Rarely"/>
    <x v="1"/>
    <s v="Current Employees"/>
    <x v="1"/>
    <x v="1"/>
    <x v="1041"/>
    <n v="1576"/>
    <x v="0"/>
    <x v="1"/>
    <x v="1"/>
    <s v="No"/>
    <s v="Y"/>
    <n v="3"/>
    <n v="-2"/>
    <n v="0"/>
    <x v="26"/>
    <x v="1"/>
    <x v="1"/>
    <n v="0"/>
    <n v="1"/>
    <n v="1108"/>
    <n v="15"/>
    <x v="2"/>
    <x v="0"/>
    <n v="3"/>
    <n v="65"/>
    <n v="3"/>
    <n v="1"/>
    <n v="3"/>
    <x v="978"/>
    <n v="16530"/>
    <n v="8"/>
    <n v="12"/>
    <n v="3"/>
    <n v="4"/>
    <n v="80"/>
    <n v="1"/>
    <n v="10"/>
    <n v="2"/>
    <n v="8"/>
    <n v="2"/>
    <n v="7"/>
    <n v="6"/>
  </r>
  <r>
    <x v="1"/>
    <s v="Travel_Rarely"/>
    <x v="2"/>
    <s v="Current Employees"/>
    <x v="1"/>
    <x v="0"/>
    <x v="1042"/>
    <n v="1447"/>
    <x v="0"/>
    <x v="2"/>
    <x v="1"/>
    <s v="No"/>
    <s v="Y"/>
    <n v="2"/>
    <n v="-2"/>
    <n v="0"/>
    <x v="13"/>
    <x v="1"/>
    <x v="1"/>
    <n v="0"/>
    <n v="1"/>
    <n v="401"/>
    <n v="1"/>
    <x v="3"/>
    <x v="0"/>
    <n v="4"/>
    <n v="86"/>
    <n v="2"/>
    <n v="1"/>
    <n v="2"/>
    <x v="635"/>
    <n v="3708"/>
    <n v="5"/>
    <n v="17"/>
    <n v="3"/>
    <n v="1"/>
    <n v="80"/>
    <n v="1"/>
    <n v="7"/>
    <n v="2"/>
    <n v="5"/>
    <n v="4"/>
    <n v="0"/>
    <n v="2"/>
  </r>
  <r>
    <x v="1"/>
    <s v="Travel_Rarely"/>
    <x v="2"/>
    <s v="Current Employees"/>
    <x v="1"/>
    <x v="0"/>
    <x v="1043"/>
    <n v="1555"/>
    <x v="0"/>
    <x v="1"/>
    <x v="1"/>
    <s v="No"/>
    <s v="Y"/>
    <n v="2"/>
    <n v="-2"/>
    <n v="0"/>
    <x v="5"/>
    <x v="1"/>
    <x v="1"/>
    <n v="0"/>
    <n v="1"/>
    <n v="824"/>
    <n v="5"/>
    <x v="0"/>
    <x v="0"/>
    <n v="4"/>
    <n v="67"/>
    <n v="2"/>
    <n v="2"/>
    <n v="2"/>
    <x v="979"/>
    <n v="15624"/>
    <n v="3"/>
    <n v="12"/>
    <n v="3"/>
    <n v="1"/>
    <n v="80"/>
    <n v="1"/>
    <n v="12"/>
    <n v="3"/>
    <n v="7"/>
    <n v="1"/>
    <n v="2"/>
    <n v="5"/>
  </r>
  <r>
    <x v="1"/>
    <s v="Travel_Rarely"/>
    <x v="0"/>
    <s v="Current Employees"/>
    <x v="1"/>
    <x v="1"/>
    <x v="1044"/>
    <n v="1782"/>
    <x v="0"/>
    <x v="2"/>
    <x v="1"/>
    <s v="No"/>
    <s v="Y"/>
    <n v="3"/>
    <n v="-2"/>
    <n v="0"/>
    <x v="8"/>
    <x v="1"/>
    <x v="1"/>
    <n v="0"/>
    <n v="1"/>
    <n v="1153"/>
    <n v="6"/>
    <x v="0"/>
    <x v="0"/>
    <n v="4"/>
    <n v="40"/>
    <n v="2"/>
    <n v="1"/>
    <n v="3"/>
    <x v="980"/>
    <n v="16376"/>
    <n v="1"/>
    <n v="11"/>
    <n v="3"/>
    <n v="2"/>
    <n v="80"/>
    <n v="1"/>
    <n v="5"/>
    <n v="3"/>
    <n v="5"/>
    <n v="4"/>
    <n v="0"/>
    <n v="4"/>
  </r>
  <r>
    <x v="1"/>
    <s v="Travel_Rarely"/>
    <x v="0"/>
    <s v="Current Employees"/>
    <x v="1"/>
    <x v="2"/>
    <x v="1045"/>
    <n v="1687"/>
    <x v="0"/>
    <x v="2"/>
    <x v="1"/>
    <s v="No"/>
    <s v="Y"/>
    <n v="5"/>
    <n v="-2"/>
    <n v="0"/>
    <x v="8"/>
    <x v="1"/>
    <x v="1"/>
    <n v="0"/>
    <n v="1"/>
    <n v="1495"/>
    <n v="4"/>
    <x v="0"/>
    <x v="0"/>
    <n v="4"/>
    <n v="87"/>
    <n v="3"/>
    <n v="1"/>
    <n v="3"/>
    <x v="981"/>
    <n v="26176"/>
    <n v="7"/>
    <n v="19"/>
    <n v="3"/>
    <n v="4"/>
    <n v="80"/>
    <n v="1"/>
    <n v="7"/>
    <n v="2"/>
    <n v="0"/>
    <n v="0"/>
    <n v="0"/>
    <n v="0"/>
  </r>
  <r>
    <x v="1"/>
    <s v="Travel_Rarely"/>
    <x v="2"/>
    <s v="Current Employees"/>
    <x v="1"/>
    <x v="2"/>
    <x v="1046"/>
    <n v="1709"/>
    <x v="0"/>
    <x v="2"/>
    <x v="1"/>
    <s v="No"/>
    <s v="Y"/>
    <n v="2"/>
    <n v="-2"/>
    <n v="0"/>
    <x v="11"/>
    <x v="1"/>
    <x v="1"/>
    <n v="0"/>
    <n v="1"/>
    <n v="1082"/>
    <n v="9"/>
    <x v="2"/>
    <x v="0"/>
    <n v="4"/>
    <n v="43"/>
    <n v="3"/>
    <n v="1"/>
    <n v="3"/>
    <x v="982"/>
    <n v="25412"/>
    <n v="9"/>
    <n v="17"/>
    <n v="3"/>
    <n v="3"/>
    <n v="80"/>
    <n v="1"/>
    <n v="9"/>
    <n v="3"/>
    <n v="5"/>
    <n v="3"/>
    <n v="1"/>
    <n v="2"/>
  </r>
  <r>
    <x v="1"/>
    <s v="Travel_Rarely"/>
    <x v="1"/>
    <s v="Current Employees"/>
    <x v="1"/>
    <x v="2"/>
    <x v="1047"/>
    <n v="1830"/>
    <x v="0"/>
    <x v="1"/>
    <x v="1"/>
    <s v="No"/>
    <s v="Y"/>
    <n v="2"/>
    <n v="-2"/>
    <n v="0"/>
    <x v="33"/>
    <x v="1"/>
    <x v="1"/>
    <n v="0"/>
    <n v="1"/>
    <n v="431"/>
    <n v="7"/>
    <x v="2"/>
    <x v="0"/>
    <n v="4"/>
    <n v="68"/>
    <n v="3"/>
    <n v="2"/>
    <n v="4"/>
    <x v="983"/>
    <n v="15696"/>
    <n v="4"/>
    <n v="15"/>
    <n v="3"/>
    <n v="2"/>
    <n v="80"/>
    <n v="1"/>
    <n v="14"/>
    <n v="2"/>
    <n v="7"/>
    <n v="1"/>
    <n v="1"/>
    <n v="7"/>
  </r>
  <r>
    <x v="1"/>
    <s v="Travel_Rarely"/>
    <x v="0"/>
    <s v="Current Employees"/>
    <x v="1"/>
    <x v="0"/>
    <x v="1048"/>
    <n v="1628"/>
    <x v="0"/>
    <x v="3"/>
    <x v="1"/>
    <s v="No"/>
    <s v="Y"/>
    <n v="2"/>
    <n v="-2"/>
    <n v="0"/>
    <x v="32"/>
    <x v="1"/>
    <x v="1"/>
    <n v="0"/>
    <n v="1"/>
    <n v="884"/>
    <n v="15"/>
    <x v="3"/>
    <x v="0"/>
    <n v="1"/>
    <n v="80"/>
    <n v="2"/>
    <n v="3"/>
    <n v="3"/>
    <x v="984"/>
    <n v="25800"/>
    <n v="1"/>
    <n v="13"/>
    <n v="3"/>
    <n v="4"/>
    <n v="80"/>
    <n v="2"/>
    <n v="18"/>
    <n v="3"/>
    <n v="18"/>
    <n v="15"/>
    <n v="14"/>
    <n v="12"/>
  </r>
  <r>
    <x v="1"/>
    <s v="Travel_Rarely"/>
    <x v="1"/>
    <s v="Current Employees"/>
    <x v="1"/>
    <x v="1"/>
    <x v="1049"/>
    <n v="1655"/>
    <x v="0"/>
    <x v="7"/>
    <x v="1"/>
    <s v="No"/>
    <s v="Y"/>
    <n v="2"/>
    <n v="-2"/>
    <n v="0"/>
    <x v="1"/>
    <x v="1"/>
    <x v="1"/>
    <n v="0"/>
    <n v="1"/>
    <n v="301"/>
    <n v="22"/>
    <x v="2"/>
    <x v="0"/>
    <n v="1"/>
    <n v="72"/>
    <n v="3"/>
    <n v="4"/>
    <n v="2"/>
    <x v="985"/>
    <n v="3498"/>
    <n v="3"/>
    <n v="16"/>
    <n v="3"/>
    <n v="2"/>
    <n v="80"/>
    <n v="2"/>
    <n v="27"/>
    <n v="3"/>
    <n v="4"/>
    <n v="2"/>
    <n v="1"/>
    <n v="2"/>
  </r>
  <r>
    <x v="1"/>
    <s v="Travel_Rarely"/>
    <x v="1"/>
    <s v="Current Employees"/>
    <x v="1"/>
    <x v="0"/>
    <x v="1050"/>
    <n v="1969"/>
    <x v="0"/>
    <x v="1"/>
    <x v="1"/>
    <s v="No"/>
    <s v="Y"/>
    <n v="6"/>
    <n v="-2"/>
    <n v="0"/>
    <x v="33"/>
    <x v="1"/>
    <x v="1"/>
    <n v="0"/>
    <n v="1"/>
    <n v="155"/>
    <n v="9"/>
    <x v="0"/>
    <x v="0"/>
    <n v="1"/>
    <n v="67"/>
    <n v="3"/>
    <n v="2"/>
    <n v="3"/>
    <x v="986"/>
    <n v="22474"/>
    <n v="3"/>
    <n v="11"/>
    <n v="3"/>
    <n v="3"/>
    <n v="80"/>
    <n v="2"/>
    <n v="9"/>
    <n v="2"/>
    <n v="4"/>
    <n v="3"/>
    <n v="2"/>
    <n v="3"/>
  </r>
  <r>
    <x v="1"/>
    <s v="Travel_Rarely"/>
    <x v="1"/>
    <s v="Current Employees"/>
    <x v="1"/>
    <x v="2"/>
    <x v="1051"/>
    <n v="1443"/>
    <x v="0"/>
    <x v="7"/>
    <x v="1"/>
    <s v="No"/>
    <s v="Y"/>
    <n v="2"/>
    <n v="-2"/>
    <n v="0"/>
    <x v="40"/>
    <x v="1"/>
    <x v="1"/>
    <n v="0"/>
    <n v="1"/>
    <n v="359"/>
    <n v="2"/>
    <x v="2"/>
    <x v="0"/>
    <n v="1"/>
    <n v="82"/>
    <n v="3"/>
    <n v="4"/>
    <n v="3"/>
    <x v="987"/>
    <n v="26703"/>
    <n v="3"/>
    <n v="19"/>
    <n v="3"/>
    <n v="2"/>
    <n v="80"/>
    <n v="2"/>
    <n v="26"/>
    <n v="4"/>
    <n v="20"/>
    <n v="17"/>
    <n v="5"/>
    <n v="6"/>
  </r>
  <r>
    <x v="1"/>
    <s v="Travel_Rarely"/>
    <x v="1"/>
    <s v="Current Employees"/>
    <x v="1"/>
    <x v="0"/>
    <x v="1052"/>
    <n v="1888"/>
    <x v="0"/>
    <x v="3"/>
    <x v="1"/>
    <s v="No"/>
    <s v="Y"/>
    <n v="2"/>
    <n v="-2"/>
    <n v="0"/>
    <x v="28"/>
    <x v="1"/>
    <x v="1"/>
    <n v="0"/>
    <n v="1"/>
    <n v="556"/>
    <n v="25"/>
    <x v="0"/>
    <x v="0"/>
    <n v="2"/>
    <n v="93"/>
    <n v="2"/>
    <n v="2"/>
    <n v="4"/>
    <x v="988"/>
    <n v="23888"/>
    <n v="0"/>
    <n v="13"/>
    <n v="3"/>
    <n v="4"/>
    <n v="80"/>
    <n v="2"/>
    <n v="10"/>
    <n v="2"/>
    <n v="9"/>
    <n v="8"/>
    <n v="3"/>
    <n v="8"/>
  </r>
  <r>
    <x v="1"/>
    <s v="Travel_Rarely"/>
    <x v="0"/>
    <s v="Current Employees"/>
    <x v="1"/>
    <x v="0"/>
    <x v="1053"/>
    <n v="1651"/>
    <x v="0"/>
    <x v="4"/>
    <x v="1"/>
    <s v="No"/>
    <s v="Y"/>
    <n v="6"/>
    <n v="-2"/>
    <n v="0"/>
    <x v="9"/>
    <x v="1"/>
    <x v="1"/>
    <n v="0"/>
    <n v="1"/>
    <n v="711"/>
    <n v="5"/>
    <x v="2"/>
    <x v="0"/>
    <n v="2"/>
    <n v="42"/>
    <n v="3"/>
    <n v="3"/>
    <n v="3"/>
    <x v="989"/>
    <n v="22792"/>
    <n v="4"/>
    <n v="12"/>
    <n v="3"/>
    <n v="3"/>
    <n v="80"/>
    <n v="2"/>
    <n v="9"/>
    <n v="3"/>
    <n v="3"/>
    <n v="2"/>
    <n v="0"/>
    <n v="2"/>
  </r>
  <r>
    <x v="1"/>
    <s v="Travel_Rarely"/>
    <x v="2"/>
    <s v="Current Employees"/>
    <x v="1"/>
    <x v="1"/>
    <x v="1054"/>
    <n v="1607"/>
    <x v="0"/>
    <x v="1"/>
    <x v="1"/>
    <s v="No"/>
    <s v="Y"/>
    <n v="3"/>
    <n v="-2"/>
    <n v="0"/>
    <x v="5"/>
    <x v="1"/>
    <x v="1"/>
    <n v="0"/>
    <n v="1"/>
    <n v="634"/>
    <n v="5"/>
    <x v="2"/>
    <x v="0"/>
    <n v="2"/>
    <n v="35"/>
    <n v="4"/>
    <n v="1"/>
    <n v="4"/>
    <x v="990"/>
    <n v="18783"/>
    <n v="3"/>
    <n v="17"/>
    <n v="3"/>
    <n v="4"/>
    <n v="80"/>
    <n v="2"/>
    <n v="6"/>
    <n v="3"/>
    <n v="3"/>
    <n v="2"/>
    <n v="0"/>
    <n v="2"/>
  </r>
  <r>
    <x v="1"/>
    <s v="Travel_Rarely"/>
    <x v="0"/>
    <s v="Current Employees"/>
    <x v="1"/>
    <x v="2"/>
    <x v="1055"/>
    <n v="2051"/>
    <x v="0"/>
    <x v="1"/>
    <x v="1"/>
    <s v="No"/>
    <s v="Y"/>
    <n v="2"/>
    <n v="-2"/>
    <n v="0"/>
    <x v="32"/>
    <x v="1"/>
    <x v="1"/>
    <n v="0"/>
    <n v="1"/>
    <n v="1194"/>
    <n v="2"/>
    <x v="2"/>
    <x v="0"/>
    <n v="3"/>
    <n v="98"/>
    <n v="3"/>
    <n v="1"/>
    <n v="3"/>
    <x v="991"/>
    <n v="12549"/>
    <n v="2"/>
    <n v="14"/>
    <n v="3"/>
    <n v="2"/>
    <n v="80"/>
    <n v="3"/>
    <n v="20"/>
    <n v="3"/>
    <n v="5"/>
    <n v="3"/>
    <n v="0"/>
    <n v="2"/>
  </r>
  <r>
    <x v="1"/>
    <s v="Travel_Rarely"/>
    <x v="2"/>
    <s v="Current Employees"/>
    <x v="1"/>
    <x v="0"/>
    <x v="1056"/>
    <n v="1430"/>
    <x v="0"/>
    <x v="7"/>
    <x v="0"/>
    <s v="No"/>
    <s v="Y"/>
    <n v="3"/>
    <n v="-2"/>
    <n v="0"/>
    <x v="12"/>
    <x v="1"/>
    <x v="1"/>
    <n v="0"/>
    <n v="1"/>
    <n v="182"/>
    <n v="8"/>
    <x v="4"/>
    <x v="0"/>
    <n v="1"/>
    <n v="93"/>
    <n v="3"/>
    <n v="4"/>
    <n v="2"/>
    <x v="992"/>
    <n v="8847"/>
    <n v="3"/>
    <n v="11"/>
    <n v="3"/>
    <n v="3"/>
    <n v="80"/>
    <n v="0"/>
    <n v="9"/>
    <n v="4"/>
    <n v="3"/>
    <n v="2"/>
    <n v="1"/>
    <n v="0"/>
  </r>
  <r>
    <x v="1"/>
    <s v="Travel_Rarely"/>
    <x v="0"/>
    <s v="Current Employees"/>
    <x v="1"/>
    <x v="2"/>
    <x v="1057"/>
    <n v="1411"/>
    <x v="0"/>
    <x v="2"/>
    <x v="0"/>
    <s v="No"/>
    <s v="Y"/>
    <n v="6"/>
    <n v="-2"/>
    <n v="0"/>
    <x v="2"/>
    <x v="1"/>
    <x v="1"/>
    <n v="0"/>
    <n v="1"/>
    <n v="1462"/>
    <n v="11"/>
    <x v="3"/>
    <x v="0"/>
    <n v="1"/>
    <n v="94"/>
    <n v="3"/>
    <n v="1"/>
    <n v="3"/>
    <x v="993"/>
    <n v="19106"/>
    <n v="4"/>
    <n v="18"/>
    <n v="3"/>
    <n v="1"/>
    <n v="80"/>
    <n v="0"/>
    <n v="8"/>
    <n v="3"/>
    <n v="3"/>
    <n v="2"/>
    <n v="0"/>
    <n v="2"/>
  </r>
  <r>
    <x v="1"/>
    <s v="Travel_Rarely"/>
    <x v="2"/>
    <s v="Current Employees"/>
    <x v="1"/>
    <x v="2"/>
    <x v="1058"/>
    <n v="1816"/>
    <x v="0"/>
    <x v="3"/>
    <x v="0"/>
    <s v="No"/>
    <s v="Y"/>
    <n v="3"/>
    <n v="-2"/>
    <n v="0"/>
    <x v="7"/>
    <x v="1"/>
    <x v="1"/>
    <n v="0"/>
    <n v="1"/>
    <n v="1092"/>
    <n v="10"/>
    <x v="3"/>
    <x v="0"/>
    <n v="1"/>
    <n v="64"/>
    <n v="3"/>
    <n v="3"/>
    <n v="3"/>
    <x v="994"/>
    <n v="2739"/>
    <n v="9"/>
    <n v="14"/>
    <n v="3"/>
    <n v="2"/>
    <n v="80"/>
    <n v="0"/>
    <n v="9"/>
    <n v="3"/>
    <n v="7"/>
    <n v="7"/>
    <n v="0"/>
    <n v="2"/>
  </r>
  <r>
    <x v="1"/>
    <s v="Travel_Rarely"/>
    <x v="0"/>
    <s v="Current Employees"/>
    <x v="1"/>
    <x v="0"/>
    <x v="1059"/>
    <n v="1525"/>
    <x v="0"/>
    <x v="3"/>
    <x v="0"/>
    <s v="No"/>
    <s v="Y"/>
    <n v="3"/>
    <n v="-2"/>
    <n v="0"/>
    <x v="22"/>
    <x v="1"/>
    <x v="1"/>
    <n v="0"/>
    <n v="1"/>
    <n v="1089"/>
    <n v="6"/>
    <x v="3"/>
    <x v="0"/>
    <n v="2"/>
    <n v="32"/>
    <n v="3"/>
    <n v="3"/>
    <n v="2"/>
    <x v="995"/>
    <n v="9150"/>
    <n v="4"/>
    <n v="18"/>
    <n v="3"/>
    <n v="4"/>
    <n v="80"/>
    <n v="0"/>
    <n v="9"/>
    <n v="3"/>
    <n v="2"/>
    <n v="0"/>
    <n v="2"/>
    <n v="2"/>
  </r>
  <r>
    <x v="1"/>
    <s v="Travel_Rarely"/>
    <x v="1"/>
    <s v="Current Employees"/>
    <x v="1"/>
    <x v="0"/>
    <x v="1060"/>
    <n v="1856"/>
    <x v="0"/>
    <x v="2"/>
    <x v="0"/>
    <s v="No"/>
    <s v="Y"/>
    <n v="2"/>
    <n v="-2"/>
    <n v="0"/>
    <x v="40"/>
    <x v="1"/>
    <x v="1"/>
    <n v="0"/>
    <n v="1"/>
    <n v="207"/>
    <n v="9"/>
    <x v="2"/>
    <x v="0"/>
    <n v="2"/>
    <n v="64"/>
    <n v="3"/>
    <n v="1"/>
    <n v="3"/>
    <x v="996"/>
    <n v="5411"/>
    <n v="4"/>
    <n v="12"/>
    <n v="3"/>
    <n v="3"/>
    <n v="80"/>
    <n v="0"/>
    <n v="7"/>
    <n v="3"/>
    <n v="2"/>
    <n v="2"/>
    <n v="2"/>
    <n v="0"/>
  </r>
  <r>
    <x v="1"/>
    <s v="Travel_Rarely"/>
    <x v="2"/>
    <s v="Current Employees"/>
    <x v="1"/>
    <x v="0"/>
    <x v="1061"/>
    <n v="2010"/>
    <x v="0"/>
    <x v="2"/>
    <x v="0"/>
    <s v="No"/>
    <s v="Y"/>
    <n v="3"/>
    <n v="-2"/>
    <n v="0"/>
    <x v="5"/>
    <x v="1"/>
    <x v="1"/>
    <n v="0"/>
    <n v="1"/>
    <n v="267"/>
    <n v="29"/>
    <x v="2"/>
    <x v="0"/>
    <n v="3"/>
    <n v="49"/>
    <n v="2"/>
    <n v="1"/>
    <n v="2"/>
    <x v="997"/>
    <n v="15919"/>
    <n v="1"/>
    <n v="13"/>
    <n v="3"/>
    <n v="3"/>
    <n v="80"/>
    <n v="0"/>
    <n v="6"/>
    <n v="3"/>
    <n v="6"/>
    <n v="2"/>
    <n v="4"/>
    <n v="1"/>
  </r>
  <r>
    <x v="1"/>
    <s v="Travel_Rarely"/>
    <x v="4"/>
    <s v="Current Employees"/>
    <x v="1"/>
    <x v="2"/>
    <x v="1062"/>
    <n v="1735"/>
    <x v="0"/>
    <x v="2"/>
    <x v="0"/>
    <s v="No"/>
    <s v="Y"/>
    <n v="3"/>
    <n v="-2"/>
    <n v="0"/>
    <x v="30"/>
    <x v="1"/>
    <x v="1"/>
    <n v="0"/>
    <n v="1"/>
    <n v="160"/>
    <n v="4"/>
    <x v="1"/>
    <x v="0"/>
    <n v="3"/>
    <n v="51"/>
    <n v="3"/>
    <n v="1"/>
    <n v="2"/>
    <x v="998"/>
    <n v="12862"/>
    <n v="1"/>
    <n v="13"/>
    <n v="3"/>
    <n v="3"/>
    <n v="80"/>
    <n v="0"/>
    <n v="3"/>
    <n v="1"/>
    <n v="3"/>
    <n v="2"/>
    <n v="1"/>
    <n v="2"/>
  </r>
  <r>
    <x v="1"/>
    <s v="Travel_Rarely"/>
    <x v="2"/>
    <s v="Current Employees"/>
    <x v="1"/>
    <x v="2"/>
    <x v="1063"/>
    <n v="1751"/>
    <x v="0"/>
    <x v="1"/>
    <x v="0"/>
    <s v="No"/>
    <s v="Y"/>
    <n v="5"/>
    <n v="-2"/>
    <n v="0"/>
    <x v="4"/>
    <x v="1"/>
    <x v="1"/>
    <n v="0"/>
    <n v="1"/>
    <n v="1054"/>
    <n v="8"/>
    <x v="3"/>
    <x v="0"/>
    <n v="3"/>
    <n v="67"/>
    <n v="3"/>
    <n v="1"/>
    <n v="4"/>
    <x v="999"/>
    <n v="6152"/>
    <n v="1"/>
    <n v="11"/>
    <n v="3"/>
    <n v="3"/>
    <n v="80"/>
    <n v="0"/>
    <n v="6"/>
    <n v="2"/>
    <n v="6"/>
    <n v="2"/>
    <n v="1"/>
    <n v="4"/>
  </r>
  <r>
    <x v="1"/>
    <s v="Travel_Rarely"/>
    <x v="2"/>
    <s v="Current Employees"/>
    <x v="1"/>
    <x v="2"/>
    <x v="1064"/>
    <n v="2054"/>
    <x v="0"/>
    <x v="1"/>
    <x v="0"/>
    <s v="No"/>
    <s v="Y"/>
    <n v="3"/>
    <n v="-2"/>
    <n v="0"/>
    <x v="11"/>
    <x v="1"/>
    <x v="1"/>
    <n v="0"/>
    <n v="1"/>
    <n v="468"/>
    <n v="28"/>
    <x v="2"/>
    <x v="0"/>
    <n v="4"/>
    <n v="73"/>
    <n v="2"/>
    <n v="1"/>
    <n v="3"/>
    <x v="1000"/>
    <n v="8489"/>
    <n v="1"/>
    <n v="14"/>
    <n v="3"/>
    <n v="2"/>
    <n v="80"/>
    <n v="0"/>
    <n v="5"/>
    <n v="1"/>
    <n v="5"/>
    <n v="4"/>
    <n v="0"/>
    <n v="4"/>
  </r>
  <r>
    <x v="1"/>
    <s v="Travel_Rarely"/>
    <x v="0"/>
    <s v="Current Employees"/>
    <x v="1"/>
    <x v="0"/>
    <x v="1065"/>
    <n v="1529"/>
    <x v="0"/>
    <x v="4"/>
    <x v="0"/>
    <s v="No"/>
    <s v="Y"/>
    <n v="3"/>
    <n v="-2"/>
    <n v="0"/>
    <x v="10"/>
    <x v="1"/>
    <x v="1"/>
    <n v="0"/>
    <n v="1"/>
    <n v="1029"/>
    <n v="16"/>
    <x v="3"/>
    <x v="0"/>
    <n v="4"/>
    <n v="91"/>
    <n v="2"/>
    <n v="3"/>
    <n v="2"/>
    <x v="1001"/>
    <n v="21195"/>
    <n v="1"/>
    <n v="19"/>
    <n v="3"/>
    <n v="4"/>
    <n v="80"/>
    <n v="0"/>
    <n v="11"/>
    <n v="1"/>
    <n v="11"/>
    <n v="8"/>
    <n v="3"/>
    <n v="3"/>
  </r>
  <r>
    <x v="1"/>
    <s v="Travel_Rarely"/>
    <x v="1"/>
    <s v="Current Employees"/>
    <x v="1"/>
    <x v="4"/>
    <x v="1066"/>
    <n v="1719"/>
    <x v="0"/>
    <x v="7"/>
    <x v="0"/>
    <s v="No"/>
    <s v="Y"/>
    <n v="2"/>
    <n v="-2"/>
    <n v="0"/>
    <x v="28"/>
    <x v="1"/>
    <x v="1"/>
    <n v="0"/>
    <n v="1"/>
    <n v="1005"/>
    <n v="28"/>
    <x v="0"/>
    <x v="0"/>
    <n v="4"/>
    <n v="48"/>
    <n v="2"/>
    <n v="4"/>
    <n v="4"/>
    <x v="1002"/>
    <n v="17119"/>
    <n v="1"/>
    <n v="11"/>
    <n v="3"/>
    <n v="3"/>
    <n v="80"/>
    <n v="0"/>
    <n v="21"/>
    <n v="3"/>
    <n v="21"/>
    <n v="6"/>
    <n v="8"/>
    <n v="6"/>
  </r>
  <r>
    <x v="1"/>
    <s v="Travel_Rarely"/>
    <x v="1"/>
    <s v="Current Employees"/>
    <x v="1"/>
    <x v="2"/>
    <x v="1067"/>
    <n v="1422"/>
    <x v="0"/>
    <x v="7"/>
    <x v="0"/>
    <s v="No"/>
    <s v="Y"/>
    <n v="3"/>
    <n v="-2"/>
    <n v="0"/>
    <x v="33"/>
    <x v="1"/>
    <x v="1"/>
    <n v="0"/>
    <n v="1"/>
    <n v="971"/>
    <n v="1"/>
    <x v="3"/>
    <x v="0"/>
    <n v="4"/>
    <n v="54"/>
    <n v="3"/>
    <n v="4"/>
    <n v="4"/>
    <x v="109"/>
    <n v="5652"/>
    <n v="6"/>
    <n v="19"/>
    <n v="3"/>
    <n v="4"/>
    <n v="80"/>
    <n v="0"/>
    <n v="29"/>
    <n v="2"/>
    <n v="20"/>
    <n v="7"/>
    <n v="12"/>
    <n v="7"/>
  </r>
  <r>
    <x v="1"/>
    <s v="Travel_Rarely"/>
    <x v="1"/>
    <s v="Current Employees"/>
    <x v="0"/>
    <x v="4"/>
    <x v="1068"/>
    <n v="1863"/>
    <x v="0"/>
    <x v="0"/>
    <x v="2"/>
    <s v="No"/>
    <s v="Y"/>
    <n v="5"/>
    <n v="-2"/>
    <n v="0"/>
    <x v="21"/>
    <x v="1"/>
    <x v="1"/>
    <n v="0"/>
    <n v="1"/>
    <n v="1319"/>
    <n v="3"/>
    <x v="3"/>
    <x v="0"/>
    <n v="4"/>
    <n v="45"/>
    <n v="4"/>
    <n v="4"/>
    <n v="4"/>
    <x v="1003"/>
    <n v="7739"/>
    <n v="2"/>
    <n v="12"/>
    <n v="3"/>
    <n v="4"/>
    <n v="80"/>
    <n v="1"/>
    <n v="25"/>
    <n v="3"/>
    <n v="19"/>
    <n v="17"/>
    <n v="2"/>
    <n v="8"/>
  </r>
  <r>
    <x v="1"/>
    <s v="Travel_Rarely"/>
    <x v="1"/>
    <s v="Current Employees"/>
    <x v="0"/>
    <x v="0"/>
    <x v="1069"/>
    <n v="1557"/>
    <x v="0"/>
    <x v="0"/>
    <x v="2"/>
    <s v="No"/>
    <s v="Y"/>
    <n v="2"/>
    <n v="-2"/>
    <n v="0"/>
    <x v="26"/>
    <x v="1"/>
    <x v="1"/>
    <n v="0"/>
    <n v="1"/>
    <n v="492"/>
    <n v="16"/>
    <x v="2"/>
    <x v="0"/>
    <n v="3"/>
    <n v="96"/>
    <n v="3"/>
    <n v="2"/>
    <n v="3"/>
    <x v="1004"/>
    <n v="13693"/>
    <n v="8"/>
    <n v="14"/>
    <n v="3"/>
    <n v="3"/>
    <n v="80"/>
    <n v="1"/>
    <n v="18"/>
    <n v="3"/>
    <n v="8"/>
    <n v="7"/>
    <n v="7"/>
    <n v="7"/>
  </r>
  <r>
    <x v="1"/>
    <s v="Travel_Rarely"/>
    <x v="2"/>
    <s v="Current Employees"/>
    <x v="0"/>
    <x v="3"/>
    <x v="1070"/>
    <n v="1428"/>
    <x v="0"/>
    <x v="0"/>
    <x v="2"/>
    <s v="No"/>
    <s v="Y"/>
    <n v="3"/>
    <n v="-2"/>
    <n v="0"/>
    <x v="7"/>
    <x v="1"/>
    <x v="1"/>
    <n v="0"/>
    <n v="1"/>
    <n v="855"/>
    <n v="7"/>
    <x v="2"/>
    <x v="0"/>
    <n v="4"/>
    <n v="73"/>
    <n v="3"/>
    <n v="2"/>
    <n v="2"/>
    <x v="586"/>
    <n v="12761"/>
    <n v="7"/>
    <n v="14"/>
    <n v="3"/>
    <n v="2"/>
    <n v="80"/>
    <n v="2"/>
    <n v="8"/>
    <n v="3"/>
    <n v="3"/>
    <n v="2"/>
    <n v="0"/>
    <n v="2"/>
  </r>
  <r>
    <x v="1"/>
    <s v="Travel_Rarely"/>
    <x v="1"/>
    <s v="Current Employees"/>
    <x v="0"/>
    <x v="0"/>
    <x v="1071"/>
    <n v="1676"/>
    <x v="0"/>
    <x v="5"/>
    <x v="2"/>
    <s v="No"/>
    <s v="Y"/>
    <n v="2"/>
    <n v="-2"/>
    <n v="0"/>
    <x v="40"/>
    <x v="1"/>
    <x v="1"/>
    <n v="0"/>
    <n v="1"/>
    <n v="1225"/>
    <n v="2"/>
    <x v="2"/>
    <x v="0"/>
    <n v="2"/>
    <n v="47"/>
    <n v="4"/>
    <n v="4"/>
    <n v="2"/>
    <x v="1005"/>
    <n v="21086"/>
    <n v="6"/>
    <n v="14"/>
    <n v="3"/>
    <n v="3"/>
    <n v="80"/>
    <n v="3"/>
    <n v="29"/>
    <n v="3"/>
    <n v="3"/>
    <n v="2"/>
    <n v="1"/>
    <n v="2"/>
  </r>
  <r>
    <x v="1"/>
    <s v="Travel_Rarely"/>
    <x v="0"/>
    <s v="Current Employees"/>
    <x v="0"/>
    <x v="0"/>
    <x v="1072"/>
    <n v="2041"/>
    <x v="0"/>
    <x v="0"/>
    <x v="1"/>
    <s v="No"/>
    <s v="Y"/>
    <n v="1"/>
    <n v="-2"/>
    <n v="0"/>
    <x v="8"/>
    <x v="1"/>
    <x v="1"/>
    <n v="0"/>
    <n v="1"/>
    <n v="345"/>
    <n v="10"/>
    <x v="0"/>
    <x v="0"/>
    <n v="1"/>
    <n v="100"/>
    <n v="3"/>
    <n v="2"/>
    <n v="4"/>
    <x v="798"/>
    <n v="5982"/>
    <n v="1"/>
    <n v="11"/>
    <n v="3"/>
    <n v="3"/>
    <n v="80"/>
    <n v="1"/>
    <n v="10"/>
    <n v="3"/>
    <n v="10"/>
    <n v="7"/>
    <n v="1"/>
    <n v="9"/>
  </r>
  <r>
    <x v="1"/>
    <s v="Travel_Rarely"/>
    <x v="0"/>
    <s v="Current Employees"/>
    <x v="0"/>
    <x v="3"/>
    <x v="1073"/>
    <n v="2045"/>
    <x v="0"/>
    <x v="0"/>
    <x v="1"/>
    <s v="No"/>
    <s v="Y"/>
    <n v="2"/>
    <n v="-2"/>
    <n v="0"/>
    <x v="9"/>
    <x v="1"/>
    <x v="1"/>
    <n v="0"/>
    <n v="1"/>
    <n v="1120"/>
    <n v="11"/>
    <x v="2"/>
    <x v="0"/>
    <n v="2"/>
    <n v="100"/>
    <n v="2"/>
    <n v="2"/>
    <n v="2"/>
    <x v="1006"/>
    <n v="14369"/>
    <n v="4"/>
    <n v="13"/>
    <n v="3"/>
    <n v="1"/>
    <n v="80"/>
    <n v="1"/>
    <n v="8"/>
    <n v="2"/>
    <n v="6"/>
    <n v="3"/>
    <n v="0"/>
    <n v="0"/>
  </r>
  <r>
    <x v="1"/>
    <s v="Travel_Rarely"/>
    <x v="0"/>
    <s v="Current Employees"/>
    <x v="0"/>
    <x v="3"/>
    <x v="1074"/>
    <n v="2056"/>
    <x v="0"/>
    <x v="0"/>
    <x v="1"/>
    <s v="No"/>
    <s v="Y"/>
    <n v="2"/>
    <n v="-2"/>
    <n v="0"/>
    <x v="22"/>
    <x v="1"/>
    <x v="1"/>
    <n v="0"/>
    <n v="1"/>
    <n v="722"/>
    <n v="24"/>
    <x v="1"/>
    <x v="0"/>
    <n v="2"/>
    <n v="60"/>
    <n v="2"/>
    <n v="4"/>
    <n v="2"/>
    <x v="1007"/>
    <n v="8828"/>
    <n v="0"/>
    <n v="11"/>
    <n v="3"/>
    <n v="1"/>
    <n v="80"/>
    <n v="1"/>
    <n v="21"/>
    <n v="2"/>
    <n v="20"/>
    <n v="9"/>
    <n v="9"/>
    <n v="6"/>
  </r>
  <r>
    <x v="1"/>
    <s v="Travel_Rarely"/>
    <x v="0"/>
    <s v="Current Employees"/>
    <x v="0"/>
    <x v="3"/>
    <x v="1075"/>
    <n v="1986"/>
    <x v="0"/>
    <x v="0"/>
    <x v="1"/>
    <s v="No"/>
    <s v="Y"/>
    <n v="4"/>
    <n v="-2"/>
    <n v="0"/>
    <x v="32"/>
    <x v="1"/>
    <x v="1"/>
    <n v="0"/>
    <n v="1"/>
    <n v="444"/>
    <n v="2"/>
    <x v="0"/>
    <x v="0"/>
    <n v="2"/>
    <n v="92"/>
    <n v="3"/>
    <n v="2"/>
    <n v="2"/>
    <x v="1008"/>
    <n v="4258"/>
    <n v="3"/>
    <n v="14"/>
    <n v="3"/>
    <n v="3"/>
    <n v="80"/>
    <n v="1"/>
    <n v="15"/>
    <n v="3"/>
    <n v="11"/>
    <n v="8"/>
    <n v="5"/>
    <n v="10"/>
  </r>
  <r>
    <x v="1"/>
    <s v="Travel_Rarely"/>
    <x v="2"/>
    <s v="Current Employees"/>
    <x v="0"/>
    <x v="2"/>
    <x v="1076"/>
    <n v="1875"/>
    <x v="0"/>
    <x v="6"/>
    <x v="1"/>
    <s v="No"/>
    <s v="Y"/>
    <n v="3"/>
    <n v="-2"/>
    <n v="0"/>
    <x v="14"/>
    <x v="1"/>
    <x v="1"/>
    <n v="0"/>
    <n v="1"/>
    <n v="1172"/>
    <n v="3"/>
    <x v="3"/>
    <x v="0"/>
    <n v="2"/>
    <n v="78"/>
    <n v="3"/>
    <n v="1"/>
    <n v="2"/>
    <x v="1009"/>
    <n v="3692"/>
    <n v="1"/>
    <n v="19"/>
    <n v="3"/>
    <n v="4"/>
    <n v="80"/>
    <n v="1"/>
    <n v="1"/>
    <n v="3"/>
    <n v="1"/>
    <n v="0"/>
    <n v="0"/>
    <n v="0"/>
  </r>
  <r>
    <x v="1"/>
    <s v="Travel_Rarely"/>
    <x v="1"/>
    <s v="Current Employees"/>
    <x v="0"/>
    <x v="0"/>
    <x v="1077"/>
    <n v="1527"/>
    <x v="0"/>
    <x v="5"/>
    <x v="1"/>
    <s v="No"/>
    <s v="Y"/>
    <n v="2"/>
    <n v="-2"/>
    <n v="0"/>
    <x v="21"/>
    <x v="1"/>
    <x v="1"/>
    <n v="0"/>
    <n v="1"/>
    <n v="228"/>
    <n v="3"/>
    <x v="3"/>
    <x v="0"/>
    <n v="3"/>
    <n v="51"/>
    <n v="3"/>
    <n v="4"/>
    <n v="2"/>
    <x v="1010"/>
    <n v="11380"/>
    <n v="8"/>
    <n v="12"/>
    <n v="3"/>
    <n v="4"/>
    <n v="80"/>
    <n v="1"/>
    <n v="23"/>
    <n v="4"/>
    <n v="13"/>
    <n v="12"/>
    <n v="5"/>
    <n v="1"/>
  </r>
  <r>
    <x v="1"/>
    <s v="Travel_Rarely"/>
    <x v="3"/>
    <s v="Current Employees"/>
    <x v="0"/>
    <x v="3"/>
    <x v="1078"/>
    <n v="1935"/>
    <x v="0"/>
    <x v="0"/>
    <x v="1"/>
    <s v="No"/>
    <s v="Y"/>
    <n v="3"/>
    <n v="-2"/>
    <n v="0"/>
    <x v="29"/>
    <x v="1"/>
    <x v="1"/>
    <n v="0"/>
    <n v="1"/>
    <n v="1443"/>
    <n v="11"/>
    <x v="4"/>
    <x v="0"/>
    <n v="4"/>
    <n v="89"/>
    <n v="2"/>
    <n v="2"/>
    <n v="2"/>
    <x v="1011"/>
    <n v="20328"/>
    <n v="4"/>
    <n v="16"/>
    <n v="3"/>
    <n v="3"/>
    <n v="80"/>
    <n v="1"/>
    <n v="6"/>
    <n v="3"/>
    <n v="0"/>
    <n v="0"/>
    <n v="0"/>
    <n v="0"/>
  </r>
  <r>
    <x v="1"/>
    <s v="Travel_Rarely"/>
    <x v="0"/>
    <s v="Current Employees"/>
    <x v="0"/>
    <x v="0"/>
    <x v="1079"/>
    <n v="1598"/>
    <x v="0"/>
    <x v="0"/>
    <x v="1"/>
    <s v="No"/>
    <s v="Y"/>
    <n v="2"/>
    <n v="-2"/>
    <n v="0"/>
    <x v="32"/>
    <x v="1"/>
    <x v="1"/>
    <n v="0"/>
    <n v="1"/>
    <n v="118"/>
    <n v="14"/>
    <x v="0"/>
    <x v="0"/>
    <n v="4"/>
    <n v="84"/>
    <n v="3"/>
    <n v="2"/>
    <n v="3"/>
    <x v="912"/>
    <n v="11262"/>
    <n v="1"/>
    <n v="15"/>
    <n v="3"/>
    <n v="3"/>
    <n v="80"/>
    <n v="1"/>
    <n v="5"/>
    <n v="3"/>
    <n v="5"/>
    <n v="4"/>
    <n v="1"/>
    <n v="2"/>
  </r>
  <r>
    <x v="1"/>
    <s v="Travel_Rarely"/>
    <x v="2"/>
    <s v="Current Employees"/>
    <x v="0"/>
    <x v="3"/>
    <x v="1080"/>
    <n v="1784"/>
    <x v="0"/>
    <x v="0"/>
    <x v="1"/>
    <s v="No"/>
    <s v="Y"/>
    <n v="3"/>
    <n v="-2"/>
    <n v="0"/>
    <x v="12"/>
    <x v="1"/>
    <x v="1"/>
    <n v="0"/>
    <n v="1"/>
    <n v="196"/>
    <n v="29"/>
    <x v="2"/>
    <x v="0"/>
    <n v="1"/>
    <n v="91"/>
    <n v="2"/>
    <n v="2"/>
    <n v="2"/>
    <x v="1012"/>
    <n v="13402"/>
    <n v="1"/>
    <n v="14"/>
    <n v="3"/>
    <n v="1"/>
    <n v="80"/>
    <n v="2"/>
    <n v="13"/>
    <n v="3"/>
    <n v="12"/>
    <n v="7"/>
    <n v="5"/>
    <n v="7"/>
  </r>
  <r>
    <x v="1"/>
    <s v="Travel_Rarely"/>
    <x v="0"/>
    <s v="Current Employees"/>
    <x v="0"/>
    <x v="2"/>
    <x v="1081"/>
    <n v="2024"/>
    <x v="0"/>
    <x v="0"/>
    <x v="1"/>
    <s v="No"/>
    <s v="Y"/>
    <n v="2"/>
    <n v="-2"/>
    <n v="0"/>
    <x v="9"/>
    <x v="1"/>
    <x v="1"/>
    <n v="0"/>
    <n v="1"/>
    <n v="557"/>
    <n v="3"/>
    <x v="3"/>
    <x v="0"/>
    <n v="1"/>
    <n v="94"/>
    <n v="2"/>
    <n v="3"/>
    <n v="4"/>
    <x v="1013"/>
    <n v="12695"/>
    <n v="0"/>
    <n v="19"/>
    <n v="3"/>
    <n v="3"/>
    <n v="80"/>
    <n v="2"/>
    <n v="10"/>
    <n v="3"/>
    <n v="9"/>
    <n v="7"/>
    <n v="3"/>
    <n v="4"/>
  </r>
  <r>
    <x v="1"/>
    <s v="Travel_Rarely"/>
    <x v="2"/>
    <s v="Current Employees"/>
    <x v="0"/>
    <x v="0"/>
    <x v="1082"/>
    <n v="1673"/>
    <x v="0"/>
    <x v="0"/>
    <x v="1"/>
    <s v="No"/>
    <s v="Y"/>
    <n v="2"/>
    <n v="-2"/>
    <n v="0"/>
    <x v="12"/>
    <x v="1"/>
    <x v="1"/>
    <n v="0"/>
    <n v="1"/>
    <n v="1112"/>
    <n v="5"/>
    <x v="2"/>
    <x v="0"/>
    <n v="1"/>
    <n v="67"/>
    <n v="3"/>
    <n v="2"/>
    <n v="4"/>
    <x v="1014"/>
    <n v="22589"/>
    <n v="1"/>
    <n v="11"/>
    <n v="3"/>
    <n v="1"/>
    <n v="80"/>
    <n v="2"/>
    <n v="10"/>
    <n v="3"/>
    <n v="10"/>
    <n v="0"/>
    <n v="0"/>
    <n v="2"/>
  </r>
  <r>
    <x v="1"/>
    <s v="Travel_Rarely"/>
    <x v="0"/>
    <s v="Current Employees"/>
    <x v="0"/>
    <x v="3"/>
    <x v="1083"/>
    <n v="1436"/>
    <x v="0"/>
    <x v="0"/>
    <x v="1"/>
    <s v="No"/>
    <s v="Y"/>
    <n v="3"/>
    <n v="-2"/>
    <n v="0"/>
    <x v="9"/>
    <x v="1"/>
    <x v="1"/>
    <n v="0"/>
    <n v="1"/>
    <n v="329"/>
    <n v="16"/>
    <x v="2"/>
    <x v="0"/>
    <n v="3"/>
    <n v="98"/>
    <n v="2"/>
    <n v="2"/>
    <n v="2"/>
    <x v="1015"/>
    <n v="13494"/>
    <n v="4"/>
    <n v="13"/>
    <n v="3"/>
    <n v="1"/>
    <n v="80"/>
    <n v="2"/>
    <n v="11"/>
    <n v="2"/>
    <n v="3"/>
    <n v="2"/>
    <n v="0"/>
    <n v="2"/>
  </r>
  <r>
    <x v="1"/>
    <s v="Travel_Rarely"/>
    <x v="2"/>
    <s v="Current Employees"/>
    <x v="0"/>
    <x v="3"/>
    <x v="1084"/>
    <n v="2016"/>
    <x v="0"/>
    <x v="0"/>
    <x v="1"/>
    <s v="No"/>
    <s v="Y"/>
    <n v="3"/>
    <n v="-2"/>
    <n v="0"/>
    <x v="5"/>
    <x v="1"/>
    <x v="1"/>
    <n v="0"/>
    <n v="1"/>
    <n v="801"/>
    <n v="1"/>
    <x v="2"/>
    <x v="0"/>
    <n v="3"/>
    <n v="48"/>
    <n v="3"/>
    <n v="3"/>
    <n v="2"/>
    <x v="1016"/>
    <n v="24032"/>
    <n v="1"/>
    <n v="19"/>
    <n v="3"/>
    <n v="3"/>
    <n v="80"/>
    <n v="2"/>
    <n v="14"/>
    <n v="3"/>
    <n v="14"/>
    <n v="10"/>
    <n v="5"/>
    <n v="7"/>
  </r>
  <r>
    <x v="1"/>
    <s v="Travel_Rarely"/>
    <x v="2"/>
    <s v="Current Employees"/>
    <x v="0"/>
    <x v="2"/>
    <x v="1085"/>
    <n v="1898"/>
    <x v="0"/>
    <x v="0"/>
    <x v="0"/>
    <s v="No"/>
    <s v="Y"/>
    <n v="5"/>
    <n v="-2"/>
    <n v="0"/>
    <x v="4"/>
    <x v="1"/>
    <x v="1"/>
    <n v="0"/>
    <n v="1"/>
    <n v="511"/>
    <n v="2"/>
    <x v="0"/>
    <x v="0"/>
    <n v="1"/>
    <n v="89"/>
    <n v="4"/>
    <n v="2"/>
    <n v="3"/>
    <x v="559"/>
    <n v="26997"/>
    <n v="0"/>
    <n v="14"/>
    <n v="3"/>
    <n v="2"/>
    <n v="80"/>
    <n v="0"/>
    <n v="9"/>
    <n v="2"/>
    <n v="8"/>
    <n v="7"/>
    <n v="0"/>
    <n v="7"/>
  </r>
  <r>
    <x v="1"/>
    <s v="Travel_Rarely"/>
    <x v="0"/>
    <s v="Current Employees"/>
    <x v="0"/>
    <x v="0"/>
    <x v="1086"/>
    <n v="1583"/>
    <x v="0"/>
    <x v="0"/>
    <x v="0"/>
    <s v="No"/>
    <s v="Y"/>
    <n v="5"/>
    <n v="-2"/>
    <n v="0"/>
    <x v="8"/>
    <x v="1"/>
    <x v="1"/>
    <n v="0"/>
    <n v="1"/>
    <n v="437"/>
    <n v="16"/>
    <x v="3"/>
    <x v="0"/>
    <n v="2"/>
    <n v="90"/>
    <n v="3"/>
    <n v="2"/>
    <n v="2"/>
    <x v="1017"/>
    <n v="16379"/>
    <n v="2"/>
    <n v="12"/>
    <n v="3"/>
    <n v="2"/>
    <n v="80"/>
    <n v="0"/>
    <n v="8"/>
    <n v="4"/>
    <n v="3"/>
    <n v="2"/>
    <n v="1"/>
    <n v="2"/>
  </r>
  <r>
    <x v="1"/>
    <s v="Travel_Rarely"/>
    <x v="0"/>
    <s v="Current Employees"/>
    <x v="0"/>
    <x v="0"/>
    <x v="1087"/>
    <n v="1585"/>
    <x v="0"/>
    <x v="0"/>
    <x v="0"/>
    <s v="No"/>
    <s v="Y"/>
    <n v="5"/>
    <n v="-2"/>
    <n v="0"/>
    <x v="9"/>
    <x v="1"/>
    <x v="1"/>
    <n v="0"/>
    <n v="1"/>
    <n v="884"/>
    <n v="1"/>
    <x v="2"/>
    <x v="0"/>
    <n v="2"/>
    <n v="73"/>
    <n v="3"/>
    <n v="2"/>
    <n v="3"/>
    <x v="1018"/>
    <n v="21447"/>
    <n v="6"/>
    <n v="13"/>
    <n v="3"/>
    <n v="1"/>
    <n v="80"/>
    <n v="0"/>
    <n v="15"/>
    <n v="3"/>
    <n v="1"/>
    <n v="0"/>
    <n v="0"/>
    <n v="0"/>
  </r>
  <r>
    <x v="1"/>
    <s v="Travel_Rarely"/>
    <x v="4"/>
    <s v="Current Employees"/>
    <x v="0"/>
    <x v="2"/>
    <x v="1088"/>
    <n v="1657"/>
    <x v="0"/>
    <x v="6"/>
    <x v="0"/>
    <s v="No"/>
    <s v="Y"/>
    <n v="3"/>
    <n v="-2"/>
    <n v="0"/>
    <x v="35"/>
    <x v="1"/>
    <x v="1"/>
    <n v="0"/>
    <n v="1"/>
    <n v="1141"/>
    <n v="2"/>
    <x v="3"/>
    <x v="0"/>
    <n v="3"/>
    <n v="31"/>
    <n v="3"/>
    <n v="1"/>
    <n v="3"/>
    <x v="1019"/>
    <n v="13251"/>
    <n v="1"/>
    <n v="19"/>
    <n v="3"/>
    <n v="1"/>
    <n v="80"/>
    <n v="0"/>
    <n v="2"/>
    <n v="3"/>
    <n v="2"/>
    <n v="2"/>
    <n v="2"/>
    <n v="2"/>
  </r>
  <r>
    <x v="1"/>
    <s v="Travel_Rarely"/>
    <x v="0"/>
    <s v="Current Employees"/>
    <x v="0"/>
    <x v="0"/>
    <x v="1089"/>
    <n v="1710"/>
    <x v="0"/>
    <x v="6"/>
    <x v="0"/>
    <s v="No"/>
    <s v="Y"/>
    <n v="2"/>
    <n v="-2"/>
    <n v="0"/>
    <x v="9"/>
    <x v="1"/>
    <x v="1"/>
    <n v="0"/>
    <n v="1"/>
    <n v="530"/>
    <n v="2"/>
    <x v="2"/>
    <x v="0"/>
    <n v="3"/>
    <n v="51"/>
    <n v="3"/>
    <n v="2"/>
    <n v="4"/>
    <x v="1020"/>
    <n v="7439"/>
    <n v="3"/>
    <n v="15"/>
    <n v="3"/>
    <n v="3"/>
    <n v="80"/>
    <n v="0"/>
    <n v="17"/>
    <n v="2"/>
    <n v="13"/>
    <n v="7"/>
    <n v="6"/>
    <n v="7"/>
  </r>
  <r>
    <x v="1"/>
    <s v="Travel_Rarely"/>
    <x v="2"/>
    <s v="Current Employees"/>
    <x v="0"/>
    <x v="0"/>
    <x v="1090"/>
    <n v="1779"/>
    <x v="0"/>
    <x v="0"/>
    <x v="0"/>
    <s v="No"/>
    <s v="Y"/>
    <n v="3"/>
    <n v="-2"/>
    <n v="0"/>
    <x v="13"/>
    <x v="1"/>
    <x v="1"/>
    <n v="0"/>
    <n v="1"/>
    <n v="511"/>
    <n v="3"/>
    <x v="0"/>
    <x v="0"/>
    <n v="4"/>
    <n v="32"/>
    <n v="1"/>
    <n v="2"/>
    <n v="4"/>
    <x v="1021"/>
    <n v="25353"/>
    <n v="5"/>
    <n v="12"/>
    <n v="3"/>
    <n v="1"/>
    <n v="80"/>
    <n v="0"/>
    <n v="6"/>
    <n v="3"/>
    <n v="2"/>
    <n v="2"/>
    <n v="2"/>
    <n v="2"/>
  </r>
  <r>
    <x v="1"/>
    <s v="Travel_Rarely"/>
    <x v="2"/>
    <s v="Current Employees"/>
    <x v="0"/>
    <x v="1"/>
    <x v="1091"/>
    <n v="2060"/>
    <x v="0"/>
    <x v="6"/>
    <x v="0"/>
    <s v="No"/>
    <s v="Y"/>
    <n v="2"/>
    <n v="-2"/>
    <n v="0"/>
    <x v="25"/>
    <x v="1"/>
    <x v="1"/>
    <n v="0"/>
    <n v="1"/>
    <n v="1167"/>
    <n v="5"/>
    <x v="3"/>
    <x v="0"/>
    <n v="4"/>
    <n v="30"/>
    <n v="2"/>
    <n v="1"/>
    <n v="3"/>
    <x v="1022"/>
    <n v="21378"/>
    <n v="0"/>
    <n v="18"/>
    <n v="3"/>
    <n v="4"/>
    <n v="80"/>
    <n v="0"/>
    <n v="5"/>
    <n v="3"/>
    <n v="4"/>
    <n v="2"/>
    <n v="0"/>
    <n v="0"/>
  </r>
  <r>
    <x v="1"/>
    <s v="Travel_Rarely"/>
    <x v="1"/>
    <s v="Current Employees"/>
    <x v="0"/>
    <x v="0"/>
    <x v="1092"/>
    <n v="2046"/>
    <x v="0"/>
    <x v="0"/>
    <x v="0"/>
    <s v="No"/>
    <s v="Y"/>
    <n v="3"/>
    <n v="-2"/>
    <n v="0"/>
    <x v="28"/>
    <x v="1"/>
    <x v="1"/>
    <n v="0"/>
    <n v="1"/>
    <n v="374"/>
    <n v="20"/>
    <x v="3"/>
    <x v="0"/>
    <n v="4"/>
    <n v="50"/>
    <n v="3"/>
    <n v="2"/>
    <n v="3"/>
    <x v="1023"/>
    <n v="23333"/>
    <n v="8"/>
    <n v="15"/>
    <n v="3"/>
    <n v="3"/>
    <n v="80"/>
    <n v="0"/>
    <n v="8"/>
    <n v="3"/>
    <n v="5"/>
    <n v="3"/>
    <n v="0"/>
    <n v="1"/>
  </r>
  <r>
    <x v="1"/>
    <s v="Travel_Rarely"/>
    <x v="1"/>
    <s v="Current Employees"/>
    <x v="0"/>
    <x v="3"/>
    <x v="1093"/>
    <n v="1757"/>
    <x v="0"/>
    <x v="0"/>
    <x v="0"/>
    <s v="No"/>
    <s v="Y"/>
    <n v="1"/>
    <n v="-2"/>
    <n v="0"/>
    <x v="1"/>
    <x v="1"/>
    <x v="1"/>
    <n v="0"/>
    <n v="1"/>
    <n v="1313"/>
    <n v="11"/>
    <x v="2"/>
    <x v="0"/>
    <n v="4"/>
    <n v="80"/>
    <n v="3"/>
    <n v="2"/>
    <n v="2"/>
    <x v="1024"/>
    <n v="8191"/>
    <n v="3"/>
    <n v="12"/>
    <n v="3"/>
    <n v="3"/>
    <n v="80"/>
    <n v="0"/>
    <n v="8"/>
    <n v="4"/>
    <n v="5"/>
    <n v="1"/>
    <n v="0"/>
    <n v="4"/>
  </r>
  <r>
    <x v="1"/>
    <s v="Non-Travel"/>
    <x v="2"/>
    <s v="Current Employees"/>
    <x v="2"/>
    <x v="0"/>
    <x v="1094"/>
    <n v="1858"/>
    <x v="1"/>
    <x v="8"/>
    <x v="2"/>
    <s v="No"/>
    <s v="Y"/>
    <n v="2"/>
    <n v="-2"/>
    <n v="0"/>
    <x v="14"/>
    <x v="1"/>
    <x v="1"/>
    <n v="0"/>
    <n v="1"/>
    <n v="280"/>
    <n v="1"/>
    <x v="0"/>
    <x v="0"/>
    <n v="3"/>
    <n v="43"/>
    <n v="3"/>
    <n v="1"/>
    <n v="4"/>
    <x v="1025"/>
    <n v="10494"/>
    <n v="1"/>
    <n v="15"/>
    <n v="3"/>
    <n v="2"/>
    <n v="80"/>
    <n v="1"/>
    <n v="3"/>
    <n v="3"/>
    <n v="3"/>
    <n v="2"/>
    <n v="2"/>
    <n v="2"/>
  </r>
  <r>
    <x v="1"/>
    <s v="Non-Travel"/>
    <x v="0"/>
    <s v="Current Employees"/>
    <x v="2"/>
    <x v="5"/>
    <x v="1095"/>
    <n v="1805"/>
    <x v="1"/>
    <x v="8"/>
    <x v="2"/>
    <s v="No"/>
    <s v="Y"/>
    <n v="3"/>
    <n v="-2"/>
    <n v="0"/>
    <x v="8"/>
    <x v="1"/>
    <x v="1"/>
    <n v="0"/>
    <n v="1"/>
    <n v="1336"/>
    <n v="2"/>
    <x v="3"/>
    <x v="0"/>
    <n v="1"/>
    <n v="100"/>
    <n v="3"/>
    <n v="1"/>
    <n v="2"/>
    <x v="1026"/>
    <n v="7129"/>
    <n v="5"/>
    <n v="13"/>
    <n v="3"/>
    <n v="4"/>
    <n v="80"/>
    <n v="3"/>
    <n v="13"/>
    <n v="3"/>
    <n v="11"/>
    <n v="10"/>
    <n v="3"/>
    <n v="8"/>
  </r>
  <r>
    <x v="1"/>
    <s v="Non-Travel"/>
    <x v="0"/>
    <s v="Current Employees"/>
    <x v="2"/>
    <x v="5"/>
    <x v="1096"/>
    <n v="1722"/>
    <x v="1"/>
    <x v="8"/>
    <x v="1"/>
    <s v="No"/>
    <s v="Y"/>
    <n v="4"/>
    <n v="-2"/>
    <n v="0"/>
    <x v="0"/>
    <x v="1"/>
    <x v="1"/>
    <n v="0"/>
    <n v="1"/>
    <n v="552"/>
    <n v="4"/>
    <x v="3"/>
    <x v="0"/>
    <n v="3"/>
    <n v="60"/>
    <n v="1"/>
    <n v="2"/>
    <n v="2"/>
    <x v="1027"/>
    <n v="20794"/>
    <n v="6"/>
    <n v="19"/>
    <n v="3"/>
    <n v="2"/>
    <n v="80"/>
    <n v="1"/>
    <n v="10"/>
    <n v="3"/>
    <n v="3"/>
    <n v="2"/>
    <n v="1"/>
    <n v="2"/>
  </r>
  <r>
    <x v="1"/>
    <s v="Non-Travel"/>
    <x v="0"/>
    <s v="Current Employees"/>
    <x v="1"/>
    <x v="2"/>
    <x v="1097"/>
    <n v="1804"/>
    <x v="1"/>
    <x v="3"/>
    <x v="2"/>
    <s v="No"/>
    <s v="Y"/>
    <n v="6"/>
    <n v="-2"/>
    <n v="0"/>
    <x v="10"/>
    <x v="1"/>
    <x v="1"/>
    <n v="0"/>
    <n v="1"/>
    <n v="1180"/>
    <n v="2"/>
    <x v="0"/>
    <x v="0"/>
    <n v="2"/>
    <n v="90"/>
    <n v="3"/>
    <n v="2"/>
    <n v="4"/>
    <x v="1028"/>
    <n v="24442"/>
    <n v="2"/>
    <n v="14"/>
    <n v="3"/>
    <n v="3"/>
    <n v="80"/>
    <n v="1"/>
    <n v="15"/>
    <n v="3"/>
    <n v="7"/>
    <n v="7"/>
    <n v="1"/>
    <n v="7"/>
  </r>
  <r>
    <x v="1"/>
    <s v="Non-Travel"/>
    <x v="0"/>
    <s v="Current Employees"/>
    <x v="1"/>
    <x v="2"/>
    <x v="1098"/>
    <n v="1468"/>
    <x v="1"/>
    <x v="7"/>
    <x v="2"/>
    <s v="No"/>
    <s v="Y"/>
    <n v="5"/>
    <n v="-2"/>
    <n v="0"/>
    <x v="32"/>
    <x v="1"/>
    <x v="1"/>
    <n v="0"/>
    <n v="1"/>
    <n v="218"/>
    <n v="8"/>
    <x v="1"/>
    <x v="0"/>
    <n v="4"/>
    <n v="55"/>
    <n v="2"/>
    <n v="3"/>
    <n v="2"/>
    <x v="1029"/>
    <n v="25178"/>
    <n v="2"/>
    <n v="11"/>
    <n v="3"/>
    <n v="3"/>
    <n v="80"/>
    <n v="1"/>
    <n v="16"/>
    <n v="3"/>
    <n v="9"/>
    <n v="8"/>
    <n v="4"/>
    <n v="8"/>
  </r>
  <r>
    <x v="1"/>
    <s v="Non-Travel"/>
    <x v="2"/>
    <s v="Current Employees"/>
    <x v="1"/>
    <x v="4"/>
    <x v="1099"/>
    <n v="1482"/>
    <x v="1"/>
    <x v="1"/>
    <x v="2"/>
    <s v="No"/>
    <s v="Y"/>
    <n v="2"/>
    <n v="-2"/>
    <n v="0"/>
    <x v="7"/>
    <x v="1"/>
    <x v="1"/>
    <n v="0"/>
    <n v="1"/>
    <n v="990"/>
    <n v="7"/>
    <x v="3"/>
    <x v="0"/>
    <n v="4"/>
    <n v="64"/>
    <n v="3"/>
    <n v="1"/>
    <n v="4"/>
    <x v="1030"/>
    <n v="7152"/>
    <n v="1"/>
    <n v="13"/>
    <n v="3"/>
    <n v="2"/>
    <n v="80"/>
    <n v="2"/>
    <n v="1"/>
    <n v="2"/>
    <n v="1"/>
    <n v="0"/>
    <n v="0"/>
    <n v="0"/>
  </r>
  <r>
    <x v="1"/>
    <s v="Non-Travel"/>
    <x v="0"/>
    <s v="Current Employees"/>
    <x v="1"/>
    <x v="1"/>
    <x v="1100"/>
    <n v="1449"/>
    <x v="1"/>
    <x v="2"/>
    <x v="2"/>
    <s v="No"/>
    <s v="Y"/>
    <n v="2"/>
    <n v="-2"/>
    <n v="0"/>
    <x v="32"/>
    <x v="1"/>
    <x v="1"/>
    <n v="0"/>
    <n v="1"/>
    <n v="663"/>
    <n v="9"/>
    <x v="2"/>
    <x v="0"/>
    <n v="3"/>
    <n v="81"/>
    <n v="3"/>
    <n v="2"/>
    <n v="3"/>
    <x v="1031"/>
    <n v="23099"/>
    <n v="3"/>
    <n v="11"/>
    <n v="3"/>
    <n v="3"/>
    <n v="80"/>
    <n v="2"/>
    <n v="11"/>
    <n v="4"/>
    <n v="8"/>
    <n v="7"/>
    <n v="0"/>
    <n v="7"/>
  </r>
  <r>
    <x v="1"/>
    <s v="Non-Travel"/>
    <x v="2"/>
    <s v="Current Employees"/>
    <x v="1"/>
    <x v="4"/>
    <x v="1101"/>
    <n v="1771"/>
    <x v="1"/>
    <x v="1"/>
    <x v="2"/>
    <s v="No"/>
    <s v="Y"/>
    <n v="2"/>
    <n v="-2"/>
    <n v="0"/>
    <x v="3"/>
    <x v="1"/>
    <x v="1"/>
    <n v="0"/>
    <n v="1"/>
    <n v="775"/>
    <n v="4"/>
    <x v="3"/>
    <x v="0"/>
    <n v="4"/>
    <n v="90"/>
    <n v="3"/>
    <n v="2"/>
    <n v="4"/>
    <x v="1032"/>
    <n v="6194"/>
    <n v="5"/>
    <n v="15"/>
    <n v="3"/>
    <n v="4"/>
    <n v="80"/>
    <n v="2"/>
    <n v="11"/>
    <n v="2"/>
    <n v="9"/>
    <n v="8"/>
    <n v="1"/>
    <n v="7"/>
  </r>
  <r>
    <x v="1"/>
    <s v="Non-Travel"/>
    <x v="2"/>
    <s v="Current Employees"/>
    <x v="1"/>
    <x v="2"/>
    <x v="1102"/>
    <n v="1994"/>
    <x v="1"/>
    <x v="2"/>
    <x v="2"/>
    <s v="No"/>
    <s v="Y"/>
    <n v="2"/>
    <n v="-2"/>
    <n v="0"/>
    <x v="3"/>
    <x v="1"/>
    <x v="1"/>
    <n v="0"/>
    <n v="1"/>
    <n v="1313"/>
    <n v="1"/>
    <x v="0"/>
    <x v="0"/>
    <n v="2"/>
    <n v="59"/>
    <n v="2"/>
    <n v="1"/>
    <n v="3"/>
    <x v="641"/>
    <n v="20439"/>
    <n v="1"/>
    <n v="12"/>
    <n v="3"/>
    <n v="3"/>
    <n v="80"/>
    <n v="3"/>
    <n v="1"/>
    <n v="2"/>
    <n v="1"/>
    <n v="1"/>
    <n v="0"/>
    <n v="0"/>
  </r>
  <r>
    <x v="1"/>
    <s v="Non-Travel"/>
    <x v="1"/>
    <s v="Current Employees"/>
    <x v="1"/>
    <x v="4"/>
    <x v="1103"/>
    <n v="1934"/>
    <x v="1"/>
    <x v="1"/>
    <x v="1"/>
    <s v="No"/>
    <s v="Y"/>
    <n v="4"/>
    <n v="-2"/>
    <n v="0"/>
    <x v="40"/>
    <x v="1"/>
    <x v="1"/>
    <n v="0"/>
    <n v="1"/>
    <n v="1169"/>
    <n v="14"/>
    <x v="2"/>
    <x v="0"/>
    <n v="4"/>
    <n v="64"/>
    <n v="3"/>
    <n v="2"/>
    <n v="4"/>
    <x v="931"/>
    <n v="2125"/>
    <n v="8"/>
    <n v="18"/>
    <n v="3"/>
    <n v="3"/>
    <n v="80"/>
    <n v="1"/>
    <n v="16"/>
    <n v="4"/>
    <n v="8"/>
    <n v="7"/>
    <n v="1"/>
    <n v="7"/>
  </r>
  <r>
    <x v="1"/>
    <s v="Non-Travel"/>
    <x v="2"/>
    <s v="Current Employees"/>
    <x v="1"/>
    <x v="4"/>
    <x v="1104"/>
    <n v="1574"/>
    <x v="1"/>
    <x v="1"/>
    <x v="1"/>
    <s v="No"/>
    <s v="Y"/>
    <n v="3"/>
    <n v="-2"/>
    <n v="0"/>
    <x v="5"/>
    <x v="1"/>
    <x v="1"/>
    <n v="0"/>
    <n v="1"/>
    <n v="1200"/>
    <n v="1"/>
    <x v="2"/>
    <x v="0"/>
    <n v="4"/>
    <n v="62"/>
    <n v="3"/>
    <n v="2"/>
    <n v="4"/>
    <x v="1033"/>
    <n v="25174"/>
    <n v="4"/>
    <n v="14"/>
    <n v="3"/>
    <n v="2"/>
    <n v="80"/>
    <n v="1"/>
    <n v="9"/>
    <n v="2"/>
    <n v="6"/>
    <n v="5"/>
    <n v="1"/>
    <n v="2"/>
  </r>
  <r>
    <x v="1"/>
    <s v="Non-Travel"/>
    <x v="0"/>
    <s v="Current Employees"/>
    <x v="1"/>
    <x v="0"/>
    <x v="1105"/>
    <n v="1813"/>
    <x v="1"/>
    <x v="1"/>
    <x v="0"/>
    <s v="No"/>
    <s v="Y"/>
    <n v="2"/>
    <n v="-2"/>
    <n v="0"/>
    <x v="23"/>
    <x v="1"/>
    <x v="1"/>
    <n v="0"/>
    <n v="1"/>
    <n v="343"/>
    <n v="9"/>
    <x v="3"/>
    <x v="0"/>
    <n v="1"/>
    <n v="52"/>
    <n v="3"/>
    <n v="1"/>
    <n v="3"/>
    <x v="1034"/>
    <n v="24978"/>
    <n v="4"/>
    <n v="13"/>
    <n v="3"/>
    <n v="3"/>
    <n v="80"/>
    <n v="0"/>
    <n v="7"/>
    <n v="2"/>
    <n v="3"/>
    <n v="2"/>
    <n v="1"/>
    <n v="2"/>
  </r>
  <r>
    <x v="1"/>
    <s v="Non-Travel"/>
    <x v="2"/>
    <s v="Current Employees"/>
    <x v="1"/>
    <x v="2"/>
    <x v="1106"/>
    <n v="2057"/>
    <x v="1"/>
    <x v="3"/>
    <x v="0"/>
    <s v="No"/>
    <s v="Y"/>
    <n v="2"/>
    <n v="-2"/>
    <n v="0"/>
    <x v="12"/>
    <x v="1"/>
    <x v="1"/>
    <n v="0"/>
    <n v="1"/>
    <n v="325"/>
    <n v="5"/>
    <x v="3"/>
    <x v="0"/>
    <n v="2"/>
    <n v="74"/>
    <n v="3"/>
    <n v="2"/>
    <n v="3"/>
    <x v="1035"/>
    <n v="3787"/>
    <n v="0"/>
    <n v="19"/>
    <n v="3"/>
    <n v="2"/>
    <n v="80"/>
    <n v="0"/>
    <n v="10"/>
    <n v="3"/>
    <n v="9"/>
    <n v="4"/>
    <n v="1"/>
    <n v="7"/>
  </r>
  <r>
    <x v="1"/>
    <s v="Non-Travel"/>
    <x v="2"/>
    <s v="Current Employees"/>
    <x v="1"/>
    <x v="4"/>
    <x v="1107"/>
    <n v="1764"/>
    <x v="1"/>
    <x v="1"/>
    <x v="0"/>
    <s v="No"/>
    <s v="Y"/>
    <n v="3"/>
    <n v="-2"/>
    <n v="0"/>
    <x v="5"/>
    <x v="1"/>
    <x v="1"/>
    <n v="0"/>
    <n v="1"/>
    <n v="953"/>
    <n v="5"/>
    <x v="2"/>
    <x v="0"/>
    <n v="4"/>
    <n v="65"/>
    <n v="3"/>
    <n v="1"/>
    <n v="4"/>
    <x v="1036"/>
    <n v="17674"/>
    <n v="2"/>
    <n v="14"/>
    <n v="3"/>
    <n v="2"/>
    <n v="80"/>
    <n v="0"/>
    <n v="12"/>
    <n v="3"/>
    <n v="7"/>
    <n v="7"/>
    <n v="0"/>
    <n v="7"/>
  </r>
  <r>
    <x v="1"/>
    <s v="Non-Travel"/>
    <x v="0"/>
    <s v="Current Employees"/>
    <x v="1"/>
    <x v="0"/>
    <x v="1108"/>
    <n v="1471"/>
    <x v="1"/>
    <x v="2"/>
    <x v="0"/>
    <s v="No"/>
    <s v="Y"/>
    <n v="5"/>
    <n v="-2"/>
    <n v="0"/>
    <x v="20"/>
    <x v="1"/>
    <x v="1"/>
    <n v="0"/>
    <n v="1"/>
    <n v="981"/>
    <n v="5"/>
    <x v="3"/>
    <x v="0"/>
    <n v="3"/>
    <n v="90"/>
    <n v="2"/>
    <n v="1"/>
    <n v="3"/>
    <x v="612"/>
    <n v="7973"/>
    <n v="3"/>
    <n v="14"/>
    <n v="3"/>
    <n v="4"/>
    <n v="80"/>
    <n v="0"/>
    <n v="7"/>
    <n v="3"/>
    <n v="5"/>
    <n v="2"/>
    <n v="0"/>
    <n v="3"/>
  </r>
  <r>
    <x v="1"/>
    <s v="Non-Travel"/>
    <x v="2"/>
    <s v="Current Employees"/>
    <x v="1"/>
    <x v="2"/>
    <x v="1109"/>
    <n v="1947"/>
    <x v="1"/>
    <x v="1"/>
    <x v="0"/>
    <s v="No"/>
    <s v="Y"/>
    <n v="3"/>
    <n v="-2"/>
    <n v="0"/>
    <x v="14"/>
    <x v="1"/>
    <x v="1"/>
    <n v="0"/>
    <n v="1"/>
    <n v="1103"/>
    <n v="16"/>
    <x v="3"/>
    <x v="0"/>
    <n v="3"/>
    <n v="49"/>
    <n v="3"/>
    <n v="1"/>
    <n v="3"/>
    <x v="1037"/>
    <n v="2122"/>
    <n v="1"/>
    <n v="14"/>
    <n v="3"/>
    <n v="3"/>
    <n v="80"/>
    <n v="0"/>
    <n v="5"/>
    <n v="2"/>
    <n v="5"/>
    <n v="3"/>
    <n v="1"/>
    <n v="4"/>
  </r>
  <r>
    <x v="1"/>
    <s v="Non-Travel"/>
    <x v="0"/>
    <s v="Current Employees"/>
    <x v="1"/>
    <x v="4"/>
    <x v="1110"/>
    <n v="1440"/>
    <x v="1"/>
    <x v="2"/>
    <x v="0"/>
    <s v="No"/>
    <s v="Y"/>
    <n v="2"/>
    <n v="-2"/>
    <n v="0"/>
    <x v="2"/>
    <x v="1"/>
    <x v="1"/>
    <n v="0"/>
    <n v="1"/>
    <n v="1413"/>
    <n v="5"/>
    <x v="0"/>
    <x v="0"/>
    <n v="4"/>
    <n v="84"/>
    <n v="4"/>
    <n v="1"/>
    <n v="4"/>
    <x v="1038"/>
    <n v="25470"/>
    <n v="0"/>
    <n v="14"/>
    <n v="3"/>
    <n v="1"/>
    <n v="80"/>
    <n v="0"/>
    <n v="7"/>
    <n v="1"/>
    <n v="6"/>
    <n v="5"/>
    <n v="1"/>
    <n v="3"/>
  </r>
  <r>
    <x v="1"/>
    <s v="Non-Travel"/>
    <x v="0"/>
    <s v="Current Employees"/>
    <x v="1"/>
    <x v="0"/>
    <x v="1111"/>
    <n v="1976"/>
    <x v="1"/>
    <x v="1"/>
    <x v="0"/>
    <s v="No"/>
    <s v="Y"/>
    <n v="2"/>
    <n v="-2"/>
    <n v="0"/>
    <x v="19"/>
    <x v="1"/>
    <x v="1"/>
    <n v="0"/>
    <n v="1"/>
    <n v="335"/>
    <n v="23"/>
    <x v="0"/>
    <x v="0"/>
    <n v="4"/>
    <n v="37"/>
    <n v="2"/>
    <n v="2"/>
    <n v="3"/>
    <x v="1039"/>
    <n v="14811"/>
    <n v="1"/>
    <n v="12"/>
    <n v="3"/>
    <n v="4"/>
    <n v="80"/>
    <n v="0"/>
    <n v="20"/>
    <n v="3"/>
    <n v="20"/>
    <n v="9"/>
    <n v="3"/>
    <n v="7"/>
  </r>
  <r>
    <x v="1"/>
    <s v="Non-Travel"/>
    <x v="0"/>
    <s v="Current Employees"/>
    <x v="1"/>
    <x v="0"/>
    <x v="1112"/>
    <n v="2022"/>
    <x v="1"/>
    <x v="5"/>
    <x v="0"/>
    <s v="No"/>
    <s v="Y"/>
    <n v="3"/>
    <n v="-2"/>
    <n v="0"/>
    <x v="22"/>
    <x v="1"/>
    <x v="1"/>
    <n v="0"/>
    <n v="1"/>
    <n v="105"/>
    <n v="9"/>
    <x v="3"/>
    <x v="0"/>
    <n v="4"/>
    <n v="87"/>
    <n v="3"/>
    <n v="5"/>
    <n v="4"/>
    <x v="1040"/>
    <n v="15302"/>
    <n v="2"/>
    <n v="13"/>
    <n v="3"/>
    <n v="3"/>
    <n v="80"/>
    <n v="0"/>
    <n v="21"/>
    <n v="2"/>
    <n v="6"/>
    <n v="0"/>
    <n v="1"/>
    <n v="3"/>
  </r>
  <r>
    <x v="1"/>
    <s v="Non-Travel"/>
    <x v="1"/>
    <s v="Current Employees"/>
    <x v="0"/>
    <x v="0"/>
    <x v="1113"/>
    <n v="2019"/>
    <x v="1"/>
    <x v="6"/>
    <x v="2"/>
    <s v="No"/>
    <s v="Y"/>
    <n v="3"/>
    <n v="-2"/>
    <n v="0"/>
    <x v="39"/>
    <x v="1"/>
    <x v="1"/>
    <n v="0"/>
    <n v="1"/>
    <n v="585"/>
    <n v="29"/>
    <x v="2"/>
    <x v="0"/>
    <n v="1"/>
    <n v="40"/>
    <n v="3"/>
    <n v="1"/>
    <n v="4"/>
    <x v="1041"/>
    <n v="19788"/>
    <n v="2"/>
    <n v="15"/>
    <n v="3"/>
    <n v="2"/>
    <n v="80"/>
    <n v="2"/>
    <n v="16"/>
    <n v="2"/>
    <n v="9"/>
    <n v="8"/>
    <n v="0"/>
    <n v="0"/>
  </r>
  <r>
    <x v="1"/>
    <s v="Non-Travel"/>
    <x v="1"/>
    <s v="Current Employees"/>
    <x v="0"/>
    <x v="3"/>
    <x v="1114"/>
    <n v="1612"/>
    <x v="1"/>
    <x v="0"/>
    <x v="1"/>
    <s v="No"/>
    <s v="Y"/>
    <n v="2"/>
    <n v="-2"/>
    <n v="0"/>
    <x v="28"/>
    <x v="1"/>
    <x v="1"/>
    <n v="0"/>
    <n v="1"/>
    <n v="336"/>
    <n v="26"/>
    <x v="3"/>
    <x v="0"/>
    <n v="1"/>
    <n v="52"/>
    <n v="2"/>
    <n v="2"/>
    <n v="2"/>
    <x v="1042"/>
    <n v="24162"/>
    <n v="1"/>
    <n v="15"/>
    <n v="3"/>
    <n v="1"/>
    <n v="80"/>
    <n v="1"/>
    <n v="10"/>
    <n v="3"/>
    <n v="10"/>
    <n v="7"/>
    <n v="4"/>
    <n v="5"/>
  </r>
  <r>
    <x v="1"/>
    <s v="Non-Travel"/>
    <x v="1"/>
    <s v="Current Employees"/>
    <x v="0"/>
    <x v="3"/>
    <x v="1115"/>
    <n v="1731"/>
    <x v="1"/>
    <x v="0"/>
    <x v="1"/>
    <s v="No"/>
    <s v="Y"/>
    <n v="3"/>
    <n v="-2"/>
    <n v="0"/>
    <x v="40"/>
    <x v="1"/>
    <x v="1"/>
    <n v="0"/>
    <n v="1"/>
    <n v="543"/>
    <n v="2"/>
    <x v="2"/>
    <x v="0"/>
    <n v="3"/>
    <n v="87"/>
    <n v="3"/>
    <n v="2"/>
    <n v="2"/>
    <x v="1043"/>
    <n v="3536"/>
    <n v="7"/>
    <n v="11"/>
    <n v="3"/>
    <n v="4"/>
    <n v="80"/>
    <n v="1"/>
    <n v="4"/>
    <n v="1"/>
    <n v="1"/>
    <n v="0"/>
    <n v="0"/>
    <n v="0"/>
  </r>
  <r>
    <x v="1"/>
    <s v="Non-Travel"/>
    <x v="1"/>
    <s v="Current Employees"/>
    <x v="0"/>
    <x v="0"/>
    <x v="1116"/>
    <n v="1801"/>
    <x v="1"/>
    <x v="0"/>
    <x v="0"/>
    <s v="No"/>
    <s v="Y"/>
    <n v="3"/>
    <n v="-2"/>
    <n v="0"/>
    <x v="21"/>
    <x v="1"/>
    <x v="1"/>
    <n v="0"/>
    <n v="1"/>
    <n v="849"/>
    <n v="26"/>
    <x v="0"/>
    <x v="0"/>
    <n v="2"/>
    <n v="98"/>
    <n v="2"/>
    <n v="2"/>
    <n v="2"/>
    <x v="1044"/>
    <n v="25166"/>
    <n v="8"/>
    <n v="15"/>
    <n v="3"/>
    <n v="3"/>
    <n v="80"/>
    <n v="0"/>
    <n v="6"/>
    <n v="3"/>
    <n v="2"/>
    <n v="2"/>
    <n v="2"/>
    <n v="2"/>
  </r>
  <r>
    <x v="1"/>
    <s v="Travel_Frequently"/>
    <x v="0"/>
    <s v="Current Employees"/>
    <x v="2"/>
    <x v="5"/>
    <x v="1117"/>
    <n v="1563"/>
    <x v="1"/>
    <x v="8"/>
    <x v="1"/>
    <s v="No"/>
    <s v="Y"/>
    <n v="2"/>
    <n v="-2"/>
    <n v="0"/>
    <x v="8"/>
    <x v="1"/>
    <x v="1"/>
    <n v="0"/>
    <n v="1"/>
    <n v="888"/>
    <n v="10"/>
    <x v="2"/>
    <x v="0"/>
    <n v="3"/>
    <n v="71"/>
    <n v="3"/>
    <n v="2"/>
    <n v="3"/>
    <x v="1045"/>
    <n v="14814"/>
    <n v="3"/>
    <n v="11"/>
    <n v="3"/>
    <n v="3"/>
    <n v="80"/>
    <n v="0"/>
    <n v="10"/>
    <n v="3"/>
    <n v="6"/>
    <n v="3"/>
    <n v="1"/>
    <n v="2"/>
  </r>
  <r>
    <x v="1"/>
    <s v="Travel_Frequently"/>
    <x v="4"/>
    <s v="Current Employees"/>
    <x v="2"/>
    <x v="2"/>
    <x v="1118"/>
    <n v="1746"/>
    <x v="1"/>
    <x v="8"/>
    <x v="1"/>
    <s v="No"/>
    <s v="Y"/>
    <n v="2"/>
    <n v="-2"/>
    <n v="0"/>
    <x v="17"/>
    <x v="1"/>
    <x v="1"/>
    <n v="0"/>
    <n v="1"/>
    <n v="897"/>
    <n v="10"/>
    <x v="3"/>
    <x v="0"/>
    <n v="1"/>
    <n v="59"/>
    <n v="3"/>
    <n v="1"/>
    <n v="4"/>
    <x v="1046"/>
    <n v="2097"/>
    <n v="0"/>
    <n v="14"/>
    <n v="3"/>
    <n v="4"/>
    <n v="80"/>
    <n v="1"/>
    <n v="3"/>
    <n v="3"/>
    <n v="2"/>
    <n v="2"/>
    <n v="2"/>
    <n v="1"/>
  </r>
  <r>
    <x v="1"/>
    <s v="Travel_Frequently"/>
    <x v="2"/>
    <s v="Current Employees"/>
    <x v="1"/>
    <x v="0"/>
    <x v="1119"/>
    <n v="1590"/>
    <x v="1"/>
    <x v="4"/>
    <x v="2"/>
    <s v="No"/>
    <s v="Y"/>
    <n v="0"/>
    <n v="-2"/>
    <n v="0"/>
    <x v="11"/>
    <x v="1"/>
    <x v="1"/>
    <n v="0"/>
    <n v="1"/>
    <n v="995"/>
    <n v="2"/>
    <x v="1"/>
    <x v="0"/>
    <n v="1"/>
    <n v="87"/>
    <n v="3"/>
    <n v="2"/>
    <n v="4"/>
    <x v="1047"/>
    <n v="24483"/>
    <n v="1"/>
    <n v="19"/>
    <n v="3"/>
    <n v="4"/>
    <n v="80"/>
    <n v="1"/>
    <n v="6"/>
    <n v="4"/>
    <n v="6"/>
    <n v="4"/>
    <n v="1"/>
    <n v="3"/>
  </r>
  <r>
    <x v="1"/>
    <s v="Travel_Frequently"/>
    <x v="2"/>
    <s v="Current Employees"/>
    <x v="1"/>
    <x v="0"/>
    <x v="1120"/>
    <n v="1615"/>
    <x v="1"/>
    <x v="3"/>
    <x v="2"/>
    <s v="No"/>
    <s v="Y"/>
    <n v="3"/>
    <n v="-2"/>
    <n v="0"/>
    <x v="13"/>
    <x v="1"/>
    <x v="1"/>
    <n v="0"/>
    <n v="1"/>
    <n v="426"/>
    <n v="10"/>
    <x v="2"/>
    <x v="0"/>
    <n v="3"/>
    <n v="42"/>
    <n v="4"/>
    <n v="2"/>
    <n v="4"/>
    <x v="927"/>
    <n v="17000"/>
    <n v="1"/>
    <n v="13"/>
    <n v="3"/>
    <n v="1"/>
    <n v="80"/>
    <n v="1"/>
    <n v="9"/>
    <n v="3"/>
    <n v="9"/>
    <n v="7"/>
    <n v="7"/>
    <n v="2"/>
  </r>
  <r>
    <x v="1"/>
    <s v="Travel_Frequently"/>
    <x v="2"/>
    <s v="Current Employees"/>
    <x v="1"/>
    <x v="2"/>
    <x v="1121"/>
    <n v="1485"/>
    <x v="1"/>
    <x v="7"/>
    <x v="2"/>
    <s v="No"/>
    <s v="Y"/>
    <n v="3"/>
    <n v="-2"/>
    <n v="0"/>
    <x v="13"/>
    <x v="1"/>
    <x v="1"/>
    <n v="0"/>
    <n v="1"/>
    <n v="829"/>
    <n v="15"/>
    <x v="3"/>
    <x v="0"/>
    <n v="2"/>
    <n v="71"/>
    <n v="3"/>
    <n v="4"/>
    <n v="3"/>
    <x v="1048"/>
    <n v="11929"/>
    <n v="7"/>
    <n v="14"/>
    <n v="3"/>
    <n v="4"/>
    <n v="80"/>
    <n v="2"/>
    <n v="16"/>
    <n v="2"/>
    <n v="14"/>
    <n v="8"/>
    <n v="6"/>
    <n v="9"/>
  </r>
  <r>
    <x v="1"/>
    <s v="Travel_Frequently"/>
    <x v="2"/>
    <s v="Current Employees"/>
    <x v="1"/>
    <x v="1"/>
    <x v="1122"/>
    <n v="1431"/>
    <x v="1"/>
    <x v="1"/>
    <x v="2"/>
    <s v="No"/>
    <s v="Y"/>
    <n v="2"/>
    <n v="-2"/>
    <n v="0"/>
    <x v="13"/>
    <x v="1"/>
    <x v="1"/>
    <n v="0"/>
    <n v="1"/>
    <n v="560"/>
    <n v="1"/>
    <x v="2"/>
    <x v="0"/>
    <n v="4"/>
    <n v="91"/>
    <n v="3"/>
    <n v="1"/>
    <n v="3"/>
    <x v="932"/>
    <n v="20284"/>
    <n v="5"/>
    <n v="14"/>
    <n v="3"/>
    <n v="3"/>
    <n v="80"/>
    <n v="2"/>
    <n v="10"/>
    <n v="3"/>
    <n v="4"/>
    <n v="3"/>
    <n v="1"/>
    <n v="3"/>
  </r>
  <r>
    <x v="1"/>
    <s v="Travel_Frequently"/>
    <x v="2"/>
    <s v="Current Employees"/>
    <x v="1"/>
    <x v="0"/>
    <x v="1123"/>
    <n v="1653"/>
    <x v="1"/>
    <x v="3"/>
    <x v="2"/>
    <s v="No"/>
    <s v="Y"/>
    <n v="6"/>
    <n v="-2"/>
    <n v="0"/>
    <x v="36"/>
    <x v="1"/>
    <x v="1"/>
    <n v="0"/>
    <n v="1"/>
    <n v="772"/>
    <n v="2"/>
    <x v="1"/>
    <x v="0"/>
    <n v="4"/>
    <n v="77"/>
    <n v="4"/>
    <n v="2"/>
    <n v="3"/>
    <x v="1049"/>
    <n v="4973"/>
    <n v="1"/>
    <n v="17"/>
    <n v="3"/>
    <n v="3"/>
    <n v="80"/>
    <n v="2"/>
    <n v="7"/>
    <n v="3"/>
    <n v="7"/>
    <n v="7"/>
    <n v="0"/>
    <n v="7"/>
  </r>
  <r>
    <x v="1"/>
    <s v="Travel_Frequently"/>
    <x v="1"/>
    <s v="Current Employees"/>
    <x v="1"/>
    <x v="0"/>
    <x v="1124"/>
    <n v="1941"/>
    <x v="1"/>
    <x v="7"/>
    <x v="1"/>
    <s v="No"/>
    <s v="Y"/>
    <n v="3"/>
    <n v="-2"/>
    <n v="0"/>
    <x v="1"/>
    <x v="1"/>
    <x v="1"/>
    <n v="0"/>
    <n v="1"/>
    <n v="1064"/>
    <n v="2"/>
    <x v="1"/>
    <x v="0"/>
    <n v="2"/>
    <n v="42"/>
    <n v="3"/>
    <n v="5"/>
    <n v="4"/>
    <x v="1050"/>
    <n v="13738"/>
    <n v="3"/>
    <n v="15"/>
    <n v="3"/>
    <n v="4"/>
    <n v="80"/>
    <n v="0"/>
    <n v="28"/>
    <n v="3"/>
    <n v="5"/>
    <n v="4"/>
    <n v="4"/>
    <n v="3"/>
  </r>
  <r>
    <x v="1"/>
    <s v="Travel_Frequently"/>
    <x v="2"/>
    <s v="Current Employees"/>
    <x v="1"/>
    <x v="2"/>
    <x v="1125"/>
    <n v="1852"/>
    <x v="1"/>
    <x v="2"/>
    <x v="1"/>
    <s v="No"/>
    <s v="Y"/>
    <n v="3"/>
    <n v="-2"/>
    <n v="0"/>
    <x v="11"/>
    <x v="1"/>
    <x v="1"/>
    <n v="0"/>
    <n v="1"/>
    <n v="574"/>
    <n v="20"/>
    <x v="1"/>
    <x v="0"/>
    <n v="4"/>
    <n v="40"/>
    <n v="3"/>
    <n v="1"/>
    <n v="4"/>
    <x v="1051"/>
    <n v="7003"/>
    <n v="1"/>
    <n v="13"/>
    <n v="3"/>
    <n v="2"/>
    <n v="80"/>
    <n v="0"/>
    <n v="11"/>
    <n v="4"/>
    <n v="11"/>
    <n v="8"/>
    <n v="3"/>
    <n v="10"/>
  </r>
  <r>
    <x v="1"/>
    <s v="Travel_Frequently"/>
    <x v="0"/>
    <s v="Current Employees"/>
    <x v="1"/>
    <x v="0"/>
    <x v="1126"/>
    <n v="1997"/>
    <x v="1"/>
    <x v="3"/>
    <x v="1"/>
    <s v="No"/>
    <s v="Y"/>
    <n v="1"/>
    <n v="-2"/>
    <n v="0"/>
    <x v="8"/>
    <x v="1"/>
    <x v="1"/>
    <n v="0"/>
    <n v="1"/>
    <n v="508"/>
    <n v="6"/>
    <x v="2"/>
    <x v="0"/>
    <n v="1"/>
    <n v="72"/>
    <n v="2"/>
    <n v="2"/>
    <n v="3"/>
    <x v="1052"/>
    <n v="14284"/>
    <n v="2"/>
    <n v="11"/>
    <n v="3"/>
    <n v="4"/>
    <n v="80"/>
    <n v="1"/>
    <n v="10"/>
    <n v="3"/>
    <n v="8"/>
    <n v="3"/>
    <n v="7"/>
    <n v="7"/>
  </r>
  <r>
    <x v="1"/>
    <s v="Travel_Frequently"/>
    <x v="2"/>
    <s v="Current Employees"/>
    <x v="1"/>
    <x v="0"/>
    <x v="1127"/>
    <n v="1720"/>
    <x v="1"/>
    <x v="1"/>
    <x v="1"/>
    <s v="No"/>
    <s v="Y"/>
    <n v="3"/>
    <n v="-2"/>
    <n v="0"/>
    <x v="5"/>
    <x v="1"/>
    <x v="1"/>
    <n v="0"/>
    <n v="1"/>
    <n v="585"/>
    <n v="10"/>
    <x v="3"/>
    <x v="0"/>
    <n v="1"/>
    <n v="56"/>
    <n v="3"/>
    <n v="1"/>
    <n v="3"/>
    <x v="1053"/>
    <n v="17360"/>
    <n v="6"/>
    <n v="13"/>
    <n v="3"/>
    <n v="1"/>
    <n v="80"/>
    <n v="1"/>
    <n v="10"/>
    <n v="2"/>
    <n v="5"/>
    <n v="2"/>
    <n v="1"/>
    <n v="3"/>
  </r>
  <r>
    <x v="1"/>
    <s v="Travel_Frequently"/>
    <x v="2"/>
    <s v="Current Employees"/>
    <x v="1"/>
    <x v="1"/>
    <x v="1128"/>
    <n v="1918"/>
    <x v="1"/>
    <x v="2"/>
    <x v="1"/>
    <s v="No"/>
    <s v="Y"/>
    <n v="3"/>
    <n v="-2"/>
    <n v="0"/>
    <x v="25"/>
    <x v="1"/>
    <x v="1"/>
    <n v="0"/>
    <n v="1"/>
    <n v="1096"/>
    <n v="6"/>
    <x v="3"/>
    <x v="0"/>
    <n v="3"/>
    <n v="61"/>
    <n v="4"/>
    <n v="1"/>
    <n v="4"/>
    <x v="1054"/>
    <n v="7102"/>
    <n v="0"/>
    <n v="18"/>
    <n v="3"/>
    <n v="1"/>
    <n v="80"/>
    <n v="1"/>
    <n v="8"/>
    <n v="3"/>
    <n v="7"/>
    <n v="7"/>
    <n v="7"/>
    <n v="7"/>
  </r>
  <r>
    <x v="1"/>
    <s v="Travel_Frequently"/>
    <x v="0"/>
    <s v="Current Employees"/>
    <x v="1"/>
    <x v="2"/>
    <x v="1129"/>
    <n v="2061"/>
    <x v="1"/>
    <x v="2"/>
    <x v="1"/>
    <s v="No"/>
    <s v="Y"/>
    <n v="3"/>
    <n v="-2"/>
    <n v="0"/>
    <x v="9"/>
    <x v="1"/>
    <x v="1"/>
    <n v="0"/>
    <n v="1"/>
    <n v="884"/>
    <n v="23"/>
    <x v="0"/>
    <x v="0"/>
    <n v="3"/>
    <n v="41"/>
    <n v="4"/>
    <n v="2"/>
    <n v="4"/>
    <x v="1055"/>
    <n v="12290"/>
    <n v="4"/>
    <n v="17"/>
    <n v="3"/>
    <n v="3"/>
    <n v="80"/>
    <n v="1"/>
    <n v="17"/>
    <n v="3"/>
    <n v="5"/>
    <n v="2"/>
    <n v="0"/>
    <n v="3"/>
  </r>
  <r>
    <x v="1"/>
    <s v="Travel_Frequently"/>
    <x v="2"/>
    <s v="Current Employees"/>
    <x v="1"/>
    <x v="4"/>
    <x v="1130"/>
    <n v="1597"/>
    <x v="1"/>
    <x v="4"/>
    <x v="1"/>
    <s v="No"/>
    <s v="Y"/>
    <n v="3"/>
    <n v="-2"/>
    <n v="0"/>
    <x v="13"/>
    <x v="1"/>
    <x v="1"/>
    <n v="0"/>
    <n v="1"/>
    <n v="653"/>
    <n v="10"/>
    <x v="2"/>
    <x v="0"/>
    <n v="4"/>
    <n v="92"/>
    <n v="2"/>
    <n v="2"/>
    <n v="4"/>
    <x v="1056"/>
    <n v="15332"/>
    <n v="1"/>
    <n v="14"/>
    <n v="3"/>
    <n v="2"/>
    <n v="80"/>
    <n v="1"/>
    <n v="8"/>
    <n v="2"/>
    <n v="8"/>
    <n v="2"/>
    <n v="7"/>
    <n v="7"/>
  </r>
  <r>
    <x v="1"/>
    <s v="Travel_Frequently"/>
    <x v="0"/>
    <s v="Current Employees"/>
    <x v="1"/>
    <x v="0"/>
    <x v="1131"/>
    <n v="1668"/>
    <x v="1"/>
    <x v="1"/>
    <x v="1"/>
    <s v="No"/>
    <s v="Y"/>
    <n v="4"/>
    <n v="-2"/>
    <n v="0"/>
    <x v="8"/>
    <x v="1"/>
    <x v="1"/>
    <n v="0"/>
    <n v="1"/>
    <n v="1189"/>
    <n v="1"/>
    <x v="3"/>
    <x v="0"/>
    <n v="4"/>
    <n v="90"/>
    <n v="3"/>
    <n v="2"/>
    <n v="4"/>
    <x v="1057"/>
    <n v="9867"/>
    <n v="7"/>
    <n v="15"/>
    <n v="3"/>
    <n v="4"/>
    <n v="80"/>
    <n v="2"/>
    <n v="19"/>
    <n v="4"/>
    <n v="13"/>
    <n v="11"/>
    <n v="2"/>
    <n v="9"/>
  </r>
  <r>
    <x v="1"/>
    <s v="Travel_Frequently"/>
    <x v="1"/>
    <s v="Current Employees"/>
    <x v="1"/>
    <x v="2"/>
    <x v="1132"/>
    <n v="1922"/>
    <x v="1"/>
    <x v="4"/>
    <x v="0"/>
    <s v="No"/>
    <s v="Y"/>
    <n v="3"/>
    <n v="-2"/>
    <n v="0"/>
    <x v="28"/>
    <x v="1"/>
    <x v="1"/>
    <n v="0"/>
    <n v="1"/>
    <n v="1297"/>
    <n v="1"/>
    <x v="2"/>
    <x v="0"/>
    <n v="2"/>
    <n v="44"/>
    <n v="3"/>
    <n v="2"/>
    <n v="3"/>
    <x v="1058"/>
    <n v="14511"/>
    <n v="4"/>
    <n v="12"/>
    <n v="3"/>
    <n v="3"/>
    <n v="80"/>
    <n v="0"/>
    <n v="12"/>
    <n v="3"/>
    <n v="4"/>
    <n v="2"/>
    <n v="0"/>
    <n v="3"/>
  </r>
  <r>
    <x v="1"/>
    <s v="Travel_Frequently"/>
    <x v="0"/>
    <s v="Current Employees"/>
    <x v="1"/>
    <x v="0"/>
    <x v="1133"/>
    <n v="1412"/>
    <x v="1"/>
    <x v="3"/>
    <x v="0"/>
    <s v="No"/>
    <s v="Y"/>
    <n v="2"/>
    <n v="-2"/>
    <n v="0"/>
    <x v="10"/>
    <x v="1"/>
    <x v="1"/>
    <n v="0"/>
    <n v="1"/>
    <n v="200"/>
    <n v="18"/>
    <x v="0"/>
    <x v="0"/>
    <n v="3"/>
    <n v="60"/>
    <n v="3"/>
    <n v="3"/>
    <n v="4"/>
    <x v="1059"/>
    <n v="19944"/>
    <n v="2"/>
    <n v="11"/>
    <n v="3"/>
    <n v="3"/>
    <n v="80"/>
    <n v="0"/>
    <n v="10"/>
    <n v="3"/>
    <n v="2"/>
    <n v="2"/>
    <n v="2"/>
    <n v="2"/>
  </r>
  <r>
    <x v="1"/>
    <s v="Travel_Frequently"/>
    <x v="2"/>
    <s v="Current Employees"/>
    <x v="1"/>
    <x v="2"/>
    <x v="1134"/>
    <n v="1648"/>
    <x v="1"/>
    <x v="1"/>
    <x v="0"/>
    <s v="No"/>
    <s v="Y"/>
    <n v="0"/>
    <n v="-2"/>
    <n v="0"/>
    <x v="4"/>
    <x v="1"/>
    <x v="1"/>
    <n v="0"/>
    <n v="1"/>
    <n v="591"/>
    <n v="2"/>
    <x v="3"/>
    <x v="0"/>
    <n v="4"/>
    <n v="87"/>
    <n v="3"/>
    <n v="1"/>
    <n v="4"/>
    <x v="1060"/>
    <n v="6297"/>
    <n v="2"/>
    <n v="13"/>
    <n v="3"/>
    <n v="3"/>
    <n v="80"/>
    <n v="0"/>
    <n v="6"/>
    <n v="2"/>
    <n v="4"/>
    <n v="2"/>
    <n v="1"/>
    <n v="2"/>
  </r>
  <r>
    <x v="1"/>
    <s v="Travel_Frequently"/>
    <x v="0"/>
    <s v="Current Employees"/>
    <x v="0"/>
    <x v="0"/>
    <x v="1135"/>
    <n v="1812"/>
    <x v="1"/>
    <x v="0"/>
    <x v="2"/>
    <s v="No"/>
    <s v="Y"/>
    <n v="6"/>
    <n v="-2"/>
    <n v="0"/>
    <x v="22"/>
    <x v="1"/>
    <x v="1"/>
    <n v="0"/>
    <n v="1"/>
    <n v="766"/>
    <n v="20"/>
    <x v="3"/>
    <x v="0"/>
    <n v="3"/>
    <n v="83"/>
    <n v="3"/>
    <n v="2"/>
    <n v="4"/>
    <x v="1061"/>
    <n v="19188"/>
    <n v="2"/>
    <n v="18"/>
    <n v="3"/>
    <n v="4"/>
    <n v="80"/>
    <n v="1"/>
    <n v="7"/>
    <n v="3"/>
    <n v="2"/>
    <n v="1"/>
    <n v="2"/>
    <n v="2"/>
  </r>
  <r>
    <x v="1"/>
    <s v="Travel_Frequently"/>
    <x v="0"/>
    <s v="Current Employees"/>
    <x v="0"/>
    <x v="2"/>
    <x v="1136"/>
    <n v="1700"/>
    <x v="1"/>
    <x v="0"/>
    <x v="2"/>
    <s v="No"/>
    <s v="Y"/>
    <n v="2"/>
    <n v="-2"/>
    <n v="0"/>
    <x v="2"/>
    <x v="1"/>
    <x v="1"/>
    <n v="0"/>
    <n v="1"/>
    <n v="1278"/>
    <n v="1"/>
    <x v="2"/>
    <x v="0"/>
    <n v="3"/>
    <n v="31"/>
    <n v="1"/>
    <n v="2"/>
    <n v="4"/>
    <x v="1062"/>
    <n v="7677"/>
    <n v="1"/>
    <n v="14"/>
    <n v="3"/>
    <n v="3"/>
    <n v="80"/>
    <n v="2"/>
    <n v="6"/>
    <n v="2"/>
    <n v="6"/>
    <n v="3"/>
    <n v="1"/>
    <n v="3"/>
  </r>
  <r>
    <x v="1"/>
    <s v="Travel_Frequently"/>
    <x v="1"/>
    <s v="Current Employees"/>
    <x v="0"/>
    <x v="2"/>
    <x v="1137"/>
    <n v="2065"/>
    <x v="1"/>
    <x v="0"/>
    <x v="1"/>
    <s v="No"/>
    <s v="Y"/>
    <n v="3"/>
    <n v="-2"/>
    <n v="0"/>
    <x v="1"/>
    <x v="1"/>
    <x v="1"/>
    <n v="0"/>
    <n v="1"/>
    <n v="1023"/>
    <n v="2"/>
    <x v="3"/>
    <x v="0"/>
    <n v="4"/>
    <n v="63"/>
    <n v="2"/>
    <n v="2"/>
    <n v="2"/>
    <x v="1063"/>
    <n v="13243"/>
    <n v="2"/>
    <n v="14"/>
    <n v="3"/>
    <n v="4"/>
    <n v="80"/>
    <n v="0"/>
    <n v="17"/>
    <n v="2"/>
    <n v="9"/>
    <n v="6"/>
    <n v="0"/>
    <n v="8"/>
  </r>
  <r>
    <x v="1"/>
    <s v="Travel_Frequently"/>
    <x v="2"/>
    <s v="Current Employees"/>
    <x v="0"/>
    <x v="2"/>
    <x v="1138"/>
    <n v="1477"/>
    <x v="1"/>
    <x v="0"/>
    <x v="1"/>
    <s v="No"/>
    <s v="Y"/>
    <n v="2"/>
    <n v="-2"/>
    <n v="0"/>
    <x v="3"/>
    <x v="1"/>
    <x v="1"/>
    <n v="0"/>
    <n v="1"/>
    <n v="430"/>
    <n v="7"/>
    <x v="3"/>
    <x v="0"/>
    <n v="4"/>
    <n v="54"/>
    <n v="3"/>
    <n v="2"/>
    <n v="3"/>
    <x v="1064"/>
    <n v="17456"/>
    <n v="0"/>
    <n v="14"/>
    <n v="3"/>
    <n v="1"/>
    <n v="80"/>
    <n v="2"/>
    <n v="5"/>
    <n v="3"/>
    <n v="4"/>
    <n v="3"/>
    <n v="0"/>
    <n v="3"/>
  </r>
  <r>
    <x v="1"/>
    <s v="Travel_Frequently"/>
    <x v="2"/>
    <s v="Current Employees"/>
    <x v="0"/>
    <x v="0"/>
    <x v="1139"/>
    <n v="1507"/>
    <x v="1"/>
    <x v="0"/>
    <x v="0"/>
    <s v="No"/>
    <s v="Y"/>
    <n v="5"/>
    <n v="-2"/>
    <n v="0"/>
    <x v="14"/>
    <x v="1"/>
    <x v="1"/>
    <n v="0"/>
    <n v="1"/>
    <n v="467"/>
    <n v="7"/>
    <x v="3"/>
    <x v="0"/>
    <n v="3"/>
    <n v="55"/>
    <n v="3"/>
    <n v="2"/>
    <n v="3"/>
    <x v="249"/>
    <n v="11827"/>
    <n v="0"/>
    <n v="14"/>
    <n v="3"/>
    <n v="4"/>
    <n v="80"/>
    <n v="0"/>
    <n v="5"/>
    <n v="3"/>
    <n v="4"/>
    <n v="2"/>
    <n v="1"/>
    <n v="3"/>
  </r>
  <r>
    <x v="1"/>
    <s v="Travel_Frequently"/>
    <x v="2"/>
    <s v="Current Employees"/>
    <x v="0"/>
    <x v="1"/>
    <x v="1140"/>
    <n v="1613"/>
    <x v="1"/>
    <x v="0"/>
    <x v="0"/>
    <s v="No"/>
    <s v="Y"/>
    <n v="3"/>
    <n v="-2"/>
    <n v="0"/>
    <x v="12"/>
    <x v="1"/>
    <x v="1"/>
    <n v="0"/>
    <n v="1"/>
    <n v="715"/>
    <n v="2"/>
    <x v="2"/>
    <x v="0"/>
    <n v="4"/>
    <n v="54"/>
    <n v="3"/>
    <n v="2"/>
    <n v="3"/>
    <x v="1065"/>
    <n v="21602"/>
    <n v="7"/>
    <n v="13"/>
    <n v="3"/>
    <n v="4"/>
    <n v="80"/>
    <n v="0"/>
    <n v="10"/>
    <n v="3"/>
    <n v="5"/>
    <n v="2"/>
    <n v="0"/>
    <n v="3"/>
  </r>
  <r>
    <x v="1"/>
    <s v="Travel_Frequently"/>
    <x v="2"/>
    <s v="Current Employees"/>
    <x v="0"/>
    <x v="3"/>
    <x v="1141"/>
    <n v="1853"/>
    <x v="1"/>
    <x v="0"/>
    <x v="0"/>
    <s v="No"/>
    <s v="Y"/>
    <n v="2"/>
    <n v="-2"/>
    <n v="0"/>
    <x v="5"/>
    <x v="1"/>
    <x v="1"/>
    <n v="0"/>
    <n v="1"/>
    <n v="1318"/>
    <n v="10"/>
    <x v="2"/>
    <x v="0"/>
    <n v="4"/>
    <n v="79"/>
    <n v="3"/>
    <n v="2"/>
    <n v="2"/>
    <x v="1066"/>
    <n v="26075"/>
    <n v="8"/>
    <n v="13"/>
    <n v="3"/>
    <n v="3"/>
    <n v="80"/>
    <n v="0"/>
    <n v="4"/>
    <n v="4"/>
    <n v="0"/>
    <n v="0"/>
    <n v="0"/>
    <n v="0"/>
  </r>
  <r>
    <x v="1"/>
    <s v="Travel_Rarely"/>
    <x v="0"/>
    <s v="Current Employees"/>
    <x v="2"/>
    <x v="1"/>
    <x v="1142"/>
    <n v="1794"/>
    <x v="1"/>
    <x v="8"/>
    <x v="2"/>
    <s v="No"/>
    <s v="Y"/>
    <n v="4"/>
    <n v="-2"/>
    <n v="0"/>
    <x v="2"/>
    <x v="1"/>
    <x v="1"/>
    <n v="0"/>
    <n v="1"/>
    <n v="1239"/>
    <n v="8"/>
    <x v="0"/>
    <x v="0"/>
    <n v="3"/>
    <n v="89"/>
    <n v="3"/>
    <n v="2"/>
    <n v="2"/>
    <x v="1067"/>
    <n v="12832"/>
    <n v="2"/>
    <n v="13"/>
    <n v="3"/>
    <n v="3"/>
    <n v="80"/>
    <n v="0"/>
    <n v="19"/>
    <n v="2"/>
    <n v="10"/>
    <n v="0"/>
    <n v="4"/>
    <n v="7"/>
  </r>
  <r>
    <x v="1"/>
    <s v="Travel_Rarely"/>
    <x v="2"/>
    <s v="Current Employees"/>
    <x v="2"/>
    <x v="2"/>
    <x v="1143"/>
    <n v="1865"/>
    <x v="1"/>
    <x v="8"/>
    <x v="1"/>
    <s v="No"/>
    <s v="Y"/>
    <n v="3"/>
    <n v="-2"/>
    <n v="0"/>
    <x v="11"/>
    <x v="1"/>
    <x v="1"/>
    <n v="0"/>
    <n v="1"/>
    <n v="352"/>
    <n v="6"/>
    <x v="1"/>
    <x v="0"/>
    <n v="4"/>
    <n v="87"/>
    <n v="2"/>
    <n v="1"/>
    <n v="2"/>
    <x v="1068"/>
    <n v="15434"/>
    <n v="1"/>
    <n v="11"/>
    <n v="3"/>
    <n v="4"/>
    <n v="80"/>
    <n v="0"/>
    <n v="1"/>
    <n v="3"/>
    <n v="1"/>
    <n v="0"/>
    <n v="0"/>
    <n v="0"/>
  </r>
  <r>
    <x v="1"/>
    <s v="Travel_Rarely"/>
    <x v="2"/>
    <s v="Current Employees"/>
    <x v="2"/>
    <x v="1"/>
    <x v="1144"/>
    <n v="1419"/>
    <x v="1"/>
    <x v="8"/>
    <x v="0"/>
    <s v="No"/>
    <s v="Y"/>
    <n v="3"/>
    <n v="-2"/>
    <n v="0"/>
    <x v="11"/>
    <x v="1"/>
    <x v="1"/>
    <n v="0"/>
    <n v="1"/>
    <n v="332"/>
    <n v="17"/>
    <x v="3"/>
    <x v="0"/>
    <n v="2"/>
    <n v="51"/>
    <n v="2"/>
    <n v="3"/>
    <n v="3"/>
    <x v="1069"/>
    <n v="9769"/>
    <n v="1"/>
    <n v="13"/>
    <n v="3"/>
    <n v="1"/>
    <n v="80"/>
    <n v="0"/>
    <n v="10"/>
    <n v="2"/>
    <n v="10"/>
    <n v="9"/>
    <n v="0"/>
    <n v="9"/>
  </r>
  <r>
    <x v="1"/>
    <s v="Travel_Rarely"/>
    <x v="0"/>
    <s v="Current Employees"/>
    <x v="2"/>
    <x v="0"/>
    <x v="1145"/>
    <n v="1778"/>
    <x v="1"/>
    <x v="8"/>
    <x v="0"/>
    <s v="No"/>
    <s v="Y"/>
    <n v="5"/>
    <n v="-2"/>
    <n v="0"/>
    <x v="23"/>
    <x v="1"/>
    <x v="1"/>
    <n v="0"/>
    <n v="1"/>
    <n v="244"/>
    <n v="2"/>
    <x v="3"/>
    <x v="0"/>
    <n v="2"/>
    <n v="97"/>
    <n v="3"/>
    <n v="1"/>
    <n v="4"/>
    <x v="1070"/>
    <n v="5033"/>
    <n v="0"/>
    <n v="13"/>
    <n v="3"/>
    <n v="2"/>
    <n v="80"/>
    <n v="0"/>
    <n v="10"/>
    <n v="3"/>
    <n v="9"/>
    <n v="7"/>
    <n v="1"/>
    <n v="8"/>
  </r>
  <r>
    <x v="1"/>
    <s v="Travel_Rarely"/>
    <x v="3"/>
    <s v="Current Employees"/>
    <x v="1"/>
    <x v="4"/>
    <x v="1146"/>
    <n v="1694"/>
    <x v="1"/>
    <x v="1"/>
    <x v="2"/>
    <s v="No"/>
    <s v="Y"/>
    <n v="1"/>
    <n v="-2"/>
    <n v="0"/>
    <x v="27"/>
    <x v="1"/>
    <x v="1"/>
    <n v="0"/>
    <n v="1"/>
    <n v="1441"/>
    <n v="22"/>
    <x v="3"/>
    <x v="0"/>
    <n v="4"/>
    <n v="94"/>
    <n v="2"/>
    <n v="1"/>
    <n v="4"/>
    <x v="1071"/>
    <n v="23737"/>
    <n v="5"/>
    <n v="12"/>
    <n v="3"/>
    <n v="4"/>
    <n v="80"/>
    <n v="1"/>
    <n v="8"/>
    <n v="3"/>
    <n v="4"/>
    <n v="2"/>
    <n v="1"/>
    <n v="2"/>
  </r>
  <r>
    <x v="1"/>
    <s v="Travel_Rarely"/>
    <x v="2"/>
    <s v="Current Employees"/>
    <x v="1"/>
    <x v="0"/>
    <x v="1147"/>
    <n v="1506"/>
    <x v="1"/>
    <x v="1"/>
    <x v="2"/>
    <s v="No"/>
    <s v="Y"/>
    <n v="2"/>
    <n v="-2"/>
    <n v="0"/>
    <x v="14"/>
    <x v="1"/>
    <x v="1"/>
    <n v="0"/>
    <n v="1"/>
    <n v="1423"/>
    <n v="1"/>
    <x v="3"/>
    <x v="0"/>
    <n v="1"/>
    <n v="72"/>
    <n v="2"/>
    <n v="1"/>
    <n v="3"/>
    <x v="1072"/>
    <n v="12530"/>
    <n v="1"/>
    <n v="14"/>
    <n v="3"/>
    <n v="4"/>
    <n v="80"/>
    <n v="1"/>
    <n v="1"/>
    <n v="1"/>
    <n v="1"/>
    <n v="0"/>
    <n v="0"/>
    <n v="0"/>
  </r>
  <r>
    <x v="1"/>
    <s v="Travel_Rarely"/>
    <x v="0"/>
    <s v="Current Employees"/>
    <x v="1"/>
    <x v="0"/>
    <x v="1148"/>
    <n v="1892"/>
    <x v="1"/>
    <x v="5"/>
    <x v="2"/>
    <s v="No"/>
    <s v="Y"/>
    <n v="3"/>
    <n v="-2"/>
    <n v="0"/>
    <x v="32"/>
    <x v="1"/>
    <x v="1"/>
    <n v="0"/>
    <n v="1"/>
    <n v="1137"/>
    <n v="1"/>
    <x v="2"/>
    <x v="0"/>
    <n v="1"/>
    <n v="98"/>
    <n v="3"/>
    <n v="4"/>
    <n v="3"/>
    <x v="1073"/>
    <n v="18991"/>
    <n v="2"/>
    <n v="11"/>
    <n v="3"/>
    <n v="1"/>
    <n v="80"/>
    <n v="1"/>
    <n v="22"/>
    <n v="3"/>
    <n v="19"/>
    <n v="7"/>
    <n v="11"/>
    <n v="16"/>
  </r>
  <r>
    <x v="1"/>
    <s v="Travel_Rarely"/>
    <x v="2"/>
    <s v="Current Employees"/>
    <x v="1"/>
    <x v="0"/>
    <x v="1149"/>
    <n v="1881"/>
    <x v="1"/>
    <x v="2"/>
    <x v="2"/>
    <s v="No"/>
    <s v="Y"/>
    <n v="2"/>
    <n v="-2"/>
    <n v="0"/>
    <x v="12"/>
    <x v="1"/>
    <x v="1"/>
    <n v="0"/>
    <n v="1"/>
    <n v="311"/>
    <n v="20"/>
    <x v="3"/>
    <x v="0"/>
    <n v="2"/>
    <n v="89"/>
    <n v="3"/>
    <n v="2"/>
    <n v="3"/>
    <x v="378"/>
    <n v="18624"/>
    <n v="1"/>
    <n v="11"/>
    <n v="3"/>
    <n v="1"/>
    <n v="80"/>
    <n v="1"/>
    <n v="10"/>
    <n v="3"/>
    <n v="10"/>
    <n v="8"/>
    <n v="0"/>
    <n v="2"/>
  </r>
  <r>
    <x v="1"/>
    <s v="Travel_Rarely"/>
    <x v="0"/>
    <s v="Current Employees"/>
    <x v="1"/>
    <x v="2"/>
    <x v="1150"/>
    <n v="1627"/>
    <x v="1"/>
    <x v="2"/>
    <x v="2"/>
    <s v="No"/>
    <s v="Y"/>
    <n v="3"/>
    <n v="-2"/>
    <n v="0"/>
    <x v="22"/>
    <x v="1"/>
    <x v="1"/>
    <n v="0"/>
    <n v="1"/>
    <n v="170"/>
    <n v="3"/>
    <x v="0"/>
    <x v="0"/>
    <n v="3"/>
    <n v="76"/>
    <n v="2"/>
    <n v="2"/>
    <n v="3"/>
    <x v="1074"/>
    <n v="10302"/>
    <n v="0"/>
    <n v="15"/>
    <n v="3"/>
    <n v="4"/>
    <n v="80"/>
    <n v="1"/>
    <n v="11"/>
    <n v="3"/>
    <n v="10"/>
    <n v="8"/>
    <n v="0"/>
    <n v="7"/>
  </r>
  <r>
    <x v="1"/>
    <s v="Travel_Rarely"/>
    <x v="0"/>
    <s v="Current Employees"/>
    <x v="1"/>
    <x v="2"/>
    <x v="1151"/>
    <n v="1474"/>
    <x v="1"/>
    <x v="1"/>
    <x v="2"/>
    <s v="No"/>
    <s v="Y"/>
    <n v="3"/>
    <n v="-2"/>
    <n v="0"/>
    <x v="32"/>
    <x v="1"/>
    <x v="1"/>
    <n v="0"/>
    <n v="1"/>
    <n v="896"/>
    <n v="2"/>
    <x v="3"/>
    <x v="0"/>
    <n v="3"/>
    <n v="68"/>
    <n v="3"/>
    <n v="1"/>
    <n v="3"/>
    <x v="1075"/>
    <n v="8045"/>
    <n v="2"/>
    <n v="14"/>
    <n v="3"/>
    <n v="3"/>
    <n v="80"/>
    <n v="1"/>
    <n v="8"/>
    <n v="4"/>
    <n v="3"/>
    <n v="1"/>
    <n v="1"/>
    <n v="2"/>
  </r>
  <r>
    <x v="1"/>
    <s v="Travel_Rarely"/>
    <x v="1"/>
    <s v="Current Employees"/>
    <x v="1"/>
    <x v="0"/>
    <x v="1152"/>
    <n v="1857"/>
    <x v="1"/>
    <x v="3"/>
    <x v="2"/>
    <s v="No"/>
    <s v="Y"/>
    <n v="4"/>
    <n v="-2"/>
    <n v="0"/>
    <x v="21"/>
    <x v="1"/>
    <x v="1"/>
    <n v="0"/>
    <n v="1"/>
    <n v="706"/>
    <n v="2"/>
    <x v="0"/>
    <x v="0"/>
    <n v="4"/>
    <n v="82"/>
    <n v="3"/>
    <n v="3"/>
    <n v="4"/>
    <x v="1076"/>
    <n v="19989"/>
    <n v="3"/>
    <n v="14"/>
    <n v="3"/>
    <n v="3"/>
    <n v="80"/>
    <n v="1"/>
    <n v="12"/>
    <n v="2"/>
    <n v="9"/>
    <n v="8"/>
    <n v="4"/>
    <n v="7"/>
  </r>
  <r>
    <x v="1"/>
    <s v="Travel_Rarely"/>
    <x v="0"/>
    <s v="Current Employees"/>
    <x v="1"/>
    <x v="4"/>
    <x v="1153"/>
    <n v="1599"/>
    <x v="1"/>
    <x v="2"/>
    <x v="2"/>
    <s v="No"/>
    <s v="Y"/>
    <n v="0"/>
    <n v="-2"/>
    <n v="0"/>
    <x v="23"/>
    <x v="1"/>
    <x v="1"/>
    <n v="0"/>
    <n v="1"/>
    <n v="990"/>
    <n v="27"/>
    <x v="3"/>
    <x v="0"/>
    <n v="4"/>
    <n v="87"/>
    <n v="4"/>
    <n v="1"/>
    <n v="4"/>
    <x v="204"/>
    <n v="5855"/>
    <n v="5"/>
    <n v="12"/>
    <n v="3"/>
    <n v="3"/>
    <n v="80"/>
    <n v="1"/>
    <n v="8"/>
    <n v="3"/>
    <n v="6"/>
    <n v="4"/>
    <n v="0"/>
    <n v="2"/>
  </r>
  <r>
    <x v="1"/>
    <s v="Travel_Rarely"/>
    <x v="0"/>
    <s v="Current Employees"/>
    <x v="1"/>
    <x v="0"/>
    <x v="1154"/>
    <n v="1940"/>
    <x v="1"/>
    <x v="1"/>
    <x v="2"/>
    <s v="No"/>
    <s v="Y"/>
    <n v="0"/>
    <n v="-2"/>
    <n v="0"/>
    <x v="8"/>
    <x v="1"/>
    <x v="1"/>
    <n v="0"/>
    <n v="1"/>
    <n v="1206"/>
    <n v="9"/>
    <x v="0"/>
    <x v="0"/>
    <n v="2"/>
    <n v="71"/>
    <n v="3"/>
    <n v="1"/>
    <n v="4"/>
    <x v="1077"/>
    <n v="14293"/>
    <n v="2"/>
    <n v="19"/>
    <n v="3"/>
    <n v="4"/>
    <n v="80"/>
    <n v="2"/>
    <n v="10"/>
    <n v="4"/>
    <n v="5"/>
    <n v="2"/>
    <n v="0"/>
    <n v="3"/>
  </r>
  <r>
    <x v="1"/>
    <s v="Travel_Rarely"/>
    <x v="3"/>
    <s v="Current Employees"/>
    <x v="1"/>
    <x v="2"/>
    <x v="1155"/>
    <n v="1424"/>
    <x v="1"/>
    <x v="7"/>
    <x v="2"/>
    <s v="No"/>
    <s v="Y"/>
    <n v="4"/>
    <n v="-2"/>
    <n v="0"/>
    <x v="27"/>
    <x v="1"/>
    <x v="1"/>
    <n v="0"/>
    <n v="1"/>
    <n v="1136"/>
    <n v="1"/>
    <x v="2"/>
    <x v="0"/>
    <n v="2"/>
    <n v="81"/>
    <n v="4"/>
    <n v="4"/>
    <n v="4"/>
    <x v="1078"/>
    <n v="12414"/>
    <n v="2"/>
    <n v="13"/>
    <n v="3"/>
    <n v="4"/>
    <n v="80"/>
    <n v="2"/>
    <n v="31"/>
    <n v="4"/>
    <n v="7"/>
    <n v="7"/>
    <n v="0"/>
    <n v="0"/>
  </r>
  <r>
    <x v="1"/>
    <s v="Travel_Rarely"/>
    <x v="1"/>
    <s v="Current Employees"/>
    <x v="1"/>
    <x v="0"/>
    <x v="1156"/>
    <n v="1484"/>
    <x v="1"/>
    <x v="4"/>
    <x v="2"/>
    <s v="No"/>
    <s v="Y"/>
    <n v="3"/>
    <n v="-2"/>
    <n v="0"/>
    <x v="1"/>
    <x v="1"/>
    <x v="1"/>
    <n v="0"/>
    <n v="1"/>
    <n v="1490"/>
    <n v="7"/>
    <x v="2"/>
    <x v="0"/>
    <n v="3"/>
    <n v="35"/>
    <n v="3"/>
    <n v="3"/>
    <n v="2"/>
    <x v="1079"/>
    <n v="20948"/>
    <n v="3"/>
    <n v="14"/>
    <n v="3"/>
    <n v="2"/>
    <n v="80"/>
    <n v="2"/>
    <n v="29"/>
    <n v="3"/>
    <n v="8"/>
    <n v="7"/>
    <n v="0"/>
    <n v="7"/>
  </r>
  <r>
    <x v="1"/>
    <s v="Travel_Rarely"/>
    <x v="2"/>
    <s v="Current Employees"/>
    <x v="1"/>
    <x v="0"/>
    <x v="1157"/>
    <n v="1859"/>
    <x v="1"/>
    <x v="4"/>
    <x v="2"/>
    <s v="No"/>
    <s v="Y"/>
    <n v="3"/>
    <n v="-2"/>
    <n v="0"/>
    <x v="11"/>
    <x v="1"/>
    <x v="1"/>
    <n v="0"/>
    <n v="1"/>
    <n v="726"/>
    <n v="29"/>
    <x v="1"/>
    <x v="0"/>
    <n v="4"/>
    <n v="93"/>
    <n v="1"/>
    <n v="2"/>
    <n v="3"/>
    <x v="1080"/>
    <n v="21143"/>
    <n v="8"/>
    <n v="17"/>
    <n v="3"/>
    <n v="4"/>
    <n v="80"/>
    <n v="2"/>
    <n v="11"/>
    <n v="3"/>
    <n v="7"/>
    <n v="0"/>
    <n v="1"/>
    <n v="6"/>
  </r>
  <r>
    <x v="1"/>
    <s v="Travel_Rarely"/>
    <x v="2"/>
    <s v="Current Employees"/>
    <x v="1"/>
    <x v="1"/>
    <x v="1158"/>
    <n v="1619"/>
    <x v="1"/>
    <x v="2"/>
    <x v="2"/>
    <s v="No"/>
    <s v="Y"/>
    <n v="3"/>
    <n v="-2"/>
    <n v="0"/>
    <x v="4"/>
    <x v="1"/>
    <x v="1"/>
    <n v="0"/>
    <n v="1"/>
    <n v="1302"/>
    <n v="19"/>
    <x v="3"/>
    <x v="0"/>
    <n v="4"/>
    <n v="67"/>
    <n v="2"/>
    <n v="1"/>
    <n v="3"/>
    <x v="1081"/>
    <n v="16290"/>
    <n v="1"/>
    <n v="11"/>
    <n v="3"/>
    <n v="1"/>
    <n v="80"/>
    <n v="2"/>
    <n v="7"/>
    <n v="3"/>
    <n v="7"/>
    <n v="7"/>
    <n v="0"/>
    <n v="7"/>
  </r>
  <r>
    <x v="1"/>
    <s v="Travel_Rarely"/>
    <x v="2"/>
    <s v="Current Employees"/>
    <x v="1"/>
    <x v="2"/>
    <x v="1159"/>
    <n v="1671"/>
    <x v="1"/>
    <x v="1"/>
    <x v="2"/>
    <s v="No"/>
    <s v="Y"/>
    <n v="4"/>
    <n v="-2"/>
    <n v="0"/>
    <x v="5"/>
    <x v="1"/>
    <x v="1"/>
    <n v="0"/>
    <n v="1"/>
    <n v="977"/>
    <n v="2"/>
    <x v="3"/>
    <x v="0"/>
    <n v="4"/>
    <n v="45"/>
    <n v="3"/>
    <n v="2"/>
    <n v="2"/>
    <x v="1082"/>
    <n v="25518"/>
    <n v="0"/>
    <n v="13"/>
    <n v="3"/>
    <n v="3"/>
    <n v="80"/>
    <n v="2"/>
    <n v="10"/>
    <n v="2"/>
    <n v="9"/>
    <n v="5"/>
    <n v="1"/>
    <n v="6"/>
  </r>
  <r>
    <x v="1"/>
    <s v="Travel_Rarely"/>
    <x v="1"/>
    <s v="Current Employees"/>
    <x v="1"/>
    <x v="4"/>
    <x v="1160"/>
    <n v="1553"/>
    <x v="1"/>
    <x v="4"/>
    <x v="2"/>
    <s v="No"/>
    <s v="Y"/>
    <n v="4"/>
    <n v="-2"/>
    <n v="0"/>
    <x v="28"/>
    <x v="1"/>
    <x v="1"/>
    <n v="0"/>
    <n v="1"/>
    <n v="538"/>
    <n v="1"/>
    <x v="2"/>
    <x v="0"/>
    <n v="4"/>
    <n v="66"/>
    <n v="3"/>
    <n v="3"/>
    <n v="4"/>
    <x v="1083"/>
    <n v="20933"/>
    <n v="1"/>
    <n v="12"/>
    <n v="3"/>
    <n v="1"/>
    <n v="80"/>
    <n v="3"/>
    <n v="10"/>
    <n v="3"/>
    <n v="10"/>
    <n v="8"/>
    <n v="7"/>
    <n v="7"/>
  </r>
  <r>
    <x v="1"/>
    <s v="Travel_Rarely"/>
    <x v="4"/>
    <s v="Current Employees"/>
    <x v="1"/>
    <x v="2"/>
    <x v="1161"/>
    <n v="1725"/>
    <x v="1"/>
    <x v="2"/>
    <x v="2"/>
    <s v="No"/>
    <s v="Y"/>
    <n v="2"/>
    <n v="-2"/>
    <n v="0"/>
    <x v="17"/>
    <x v="1"/>
    <x v="1"/>
    <n v="0"/>
    <n v="1"/>
    <n v="506"/>
    <n v="29"/>
    <x v="1"/>
    <x v="0"/>
    <n v="2"/>
    <n v="91"/>
    <n v="3"/>
    <n v="1"/>
    <n v="3"/>
    <x v="1084"/>
    <n v="3622"/>
    <n v="1"/>
    <n v="13"/>
    <n v="3"/>
    <n v="2"/>
    <n v="80"/>
    <n v="3"/>
    <n v="6"/>
    <n v="4"/>
    <n v="6"/>
    <n v="2"/>
    <n v="1"/>
    <n v="2"/>
  </r>
  <r>
    <x v="1"/>
    <s v="Travel_Rarely"/>
    <x v="4"/>
    <s v="Current Employees"/>
    <x v="1"/>
    <x v="4"/>
    <x v="1162"/>
    <n v="1551"/>
    <x v="1"/>
    <x v="2"/>
    <x v="2"/>
    <s v="No"/>
    <s v="Y"/>
    <n v="3"/>
    <n v="-2"/>
    <n v="0"/>
    <x v="17"/>
    <x v="1"/>
    <x v="1"/>
    <n v="0"/>
    <n v="1"/>
    <n v="350"/>
    <n v="21"/>
    <x v="0"/>
    <x v="0"/>
    <n v="4"/>
    <n v="57"/>
    <n v="2"/>
    <n v="1"/>
    <n v="4"/>
    <x v="1085"/>
    <n v="10036"/>
    <n v="0"/>
    <n v="14"/>
    <n v="3"/>
    <n v="2"/>
    <n v="80"/>
    <n v="3"/>
    <n v="2"/>
    <n v="3"/>
    <n v="1"/>
    <n v="1"/>
    <n v="0"/>
    <n v="0"/>
  </r>
  <r>
    <x v="1"/>
    <s v="Travel_Rarely"/>
    <x v="0"/>
    <s v="Current Employees"/>
    <x v="1"/>
    <x v="1"/>
    <x v="1163"/>
    <n v="1871"/>
    <x v="1"/>
    <x v="1"/>
    <x v="2"/>
    <s v="No"/>
    <s v="Y"/>
    <n v="2"/>
    <n v="-2"/>
    <n v="0"/>
    <x v="22"/>
    <x v="1"/>
    <x v="1"/>
    <n v="0"/>
    <n v="1"/>
    <n v="835"/>
    <n v="19"/>
    <x v="2"/>
    <x v="0"/>
    <n v="4"/>
    <n v="41"/>
    <n v="3"/>
    <n v="2"/>
    <n v="4"/>
    <x v="1086"/>
    <n v="5141"/>
    <n v="8"/>
    <n v="14"/>
    <n v="3"/>
    <n v="2"/>
    <n v="80"/>
    <n v="3"/>
    <n v="7"/>
    <n v="3"/>
    <n v="2"/>
    <n v="2"/>
    <n v="2"/>
    <n v="2"/>
  </r>
  <r>
    <x v="1"/>
    <s v="Travel_Rarely"/>
    <x v="0"/>
    <s v="Current Employees"/>
    <x v="1"/>
    <x v="0"/>
    <x v="1164"/>
    <n v="2031"/>
    <x v="1"/>
    <x v="5"/>
    <x v="1"/>
    <s v="No"/>
    <s v="Y"/>
    <n v="2"/>
    <n v="-2"/>
    <n v="0"/>
    <x v="19"/>
    <x v="1"/>
    <x v="1"/>
    <n v="0"/>
    <n v="1"/>
    <n v="300"/>
    <n v="2"/>
    <x v="3"/>
    <x v="0"/>
    <n v="1"/>
    <n v="56"/>
    <n v="3"/>
    <n v="5"/>
    <n v="3"/>
    <x v="1087"/>
    <n v="17312"/>
    <n v="5"/>
    <n v="11"/>
    <n v="3"/>
    <n v="1"/>
    <n v="80"/>
    <n v="0"/>
    <n v="24"/>
    <n v="2"/>
    <n v="22"/>
    <n v="6"/>
    <n v="4"/>
    <n v="14"/>
  </r>
  <r>
    <x v="1"/>
    <s v="Travel_Rarely"/>
    <x v="0"/>
    <s v="Current Employees"/>
    <x v="1"/>
    <x v="2"/>
    <x v="1165"/>
    <n v="1543"/>
    <x v="1"/>
    <x v="1"/>
    <x v="1"/>
    <s v="No"/>
    <s v="Y"/>
    <n v="2"/>
    <n v="-2"/>
    <n v="0"/>
    <x v="2"/>
    <x v="1"/>
    <x v="1"/>
    <n v="0"/>
    <n v="1"/>
    <n v="674"/>
    <n v="13"/>
    <x v="3"/>
    <x v="0"/>
    <n v="1"/>
    <n v="47"/>
    <n v="3"/>
    <n v="2"/>
    <n v="4"/>
    <x v="1088"/>
    <n v="3031"/>
    <n v="1"/>
    <n v="17"/>
    <n v="3"/>
    <n v="1"/>
    <n v="80"/>
    <n v="0"/>
    <n v="10"/>
    <n v="3"/>
    <n v="10"/>
    <n v="8"/>
    <n v="3"/>
    <n v="7"/>
  </r>
  <r>
    <x v="1"/>
    <s v="Travel_Rarely"/>
    <x v="2"/>
    <s v="Current Employees"/>
    <x v="1"/>
    <x v="0"/>
    <x v="1166"/>
    <n v="1434"/>
    <x v="1"/>
    <x v="2"/>
    <x v="1"/>
    <s v="No"/>
    <s v="Y"/>
    <n v="3"/>
    <n v="-2"/>
    <n v="0"/>
    <x v="4"/>
    <x v="1"/>
    <x v="1"/>
    <n v="0"/>
    <n v="1"/>
    <n v="1377"/>
    <n v="11"/>
    <x v="1"/>
    <x v="0"/>
    <n v="2"/>
    <n v="91"/>
    <n v="3"/>
    <n v="1"/>
    <n v="3"/>
    <x v="1089"/>
    <n v="7679"/>
    <n v="0"/>
    <n v="14"/>
    <n v="3"/>
    <n v="2"/>
    <n v="80"/>
    <n v="0"/>
    <n v="6"/>
    <n v="4"/>
    <n v="5"/>
    <n v="0"/>
    <n v="1"/>
    <n v="4"/>
  </r>
  <r>
    <x v="1"/>
    <s v="Travel_Rarely"/>
    <x v="0"/>
    <s v="Current Employees"/>
    <x v="1"/>
    <x v="0"/>
    <x v="1167"/>
    <n v="1621"/>
    <x v="1"/>
    <x v="1"/>
    <x v="1"/>
    <s v="No"/>
    <s v="Y"/>
    <n v="2"/>
    <n v="-2"/>
    <n v="0"/>
    <x v="10"/>
    <x v="1"/>
    <x v="1"/>
    <n v="0"/>
    <n v="1"/>
    <n v="819"/>
    <n v="18"/>
    <x v="4"/>
    <x v="0"/>
    <n v="2"/>
    <n v="48"/>
    <n v="4"/>
    <n v="2"/>
    <n v="3"/>
    <x v="1090"/>
    <n v="26312"/>
    <n v="1"/>
    <n v="11"/>
    <n v="3"/>
    <n v="4"/>
    <n v="80"/>
    <n v="0"/>
    <n v="16"/>
    <n v="3"/>
    <n v="16"/>
    <n v="15"/>
    <n v="1"/>
    <n v="10"/>
  </r>
  <r>
    <x v="1"/>
    <s v="Travel_Rarely"/>
    <x v="2"/>
    <s v="Current Employees"/>
    <x v="1"/>
    <x v="2"/>
    <x v="1168"/>
    <n v="2068"/>
    <x v="1"/>
    <x v="2"/>
    <x v="1"/>
    <s v="No"/>
    <s v="Y"/>
    <n v="3"/>
    <n v="-2"/>
    <n v="0"/>
    <x v="13"/>
    <x v="1"/>
    <x v="1"/>
    <n v="0"/>
    <n v="1"/>
    <n v="628"/>
    <n v="8"/>
    <x v="3"/>
    <x v="0"/>
    <n v="2"/>
    <n v="82"/>
    <n v="4"/>
    <n v="2"/>
    <n v="3"/>
    <x v="1091"/>
    <n v="10228"/>
    <n v="2"/>
    <n v="12"/>
    <n v="3"/>
    <n v="1"/>
    <n v="80"/>
    <n v="0"/>
    <n v="6"/>
    <n v="4"/>
    <n v="4"/>
    <n v="3"/>
    <n v="1"/>
    <n v="2"/>
  </r>
  <r>
    <x v="1"/>
    <s v="Travel_Rarely"/>
    <x v="1"/>
    <s v="Current Employees"/>
    <x v="1"/>
    <x v="2"/>
    <x v="1169"/>
    <n v="1689"/>
    <x v="1"/>
    <x v="4"/>
    <x v="1"/>
    <s v="No"/>
    <s v="Y"/>
    <n v="2"/>
    <n v="-2"/>
    <n v="0"/>
    <x v="16"/>
    <x v="1"/>
    <x v="1"/>
    <n v="0"/>
    <n v="1"/>
    <n v="1395"/>
    <n v="24"/>
    <x v="2"/>
    <x v="0"/>
    <n v="2"/>
    <n v="48"/>
    <n v="4"/>
    <n v="3"/>
    <n v="4"/>
    <x v="1092"/>
    <n v="3458"/>
    <n v="3"/>
    <n v="15"/>
    <n v="3"/>
    <n v="3"/>
    <n v="80"/>
    <n v="0"/>
    <n v="11"/>
    <n v="3"/>
    <n v="4"/>
    <n v="3"/>
    <n v="1"/>
    <n v="2"/>
  </r>
  <r>
    <x v="1"/>
    <s v="Travel_Rarely"/>
    <x v="1"/>
    <s v="Current Employees"/>
    <x v="1"/>
    <x v="0"/>
    <x v="1170"/>
    <n v="1867"/>
    <x v="1"/>
    <x v="7"/>
    <x v="1"/>
    <s v="No"/>
    <s v="Y"/>
    <n v="3"/>
    <n v="-2"/>
    <n v="0"/>
    <x v="26"/>
    <x v="1"/>
    <x v="1"/>
    <n v="0"/>
    <n v="1"/>
    <n v="1224"/>
    <n v="10"/>
    <x v="3"/>
    <x v="0"/>
    <n v="4"/>
    <n v="91"/>
    <n v="2"/>
    <n v="5"/>
    <n v="2"/>
    <x v="1093"/>
    <n v="13583"/>
    <n v="4"/>
    <n v="12"/>
    <n v="3"/>
    <n v="4"/>
    <n v="80"/>
    <n v="0"/>
    <n v="29"/>
    <n v="3"/>
    <n v="22"/>
    <n v="10"/>
    <n v="12"/>
    <n v="9"/>
  </r>
  <r>
    <x v="1"/>
    <s v="Travel_Rarely"/>
    <x v="2"/>
    <s v="Current Employees"/>
    <x v="1"/>
    <x v="2"/>
    <x v="1171"/>
    <n v="1989"/>
    <x v="1"/>
    <x v="2"/>
    <x v="1"/>
    <s v="No"/>
    <s v="Y"/>
    <n v="6"/>
    <n v="-2"/>
    <n v="0"/>
    <x v="7"/>
    <x v="1"/>
    <x v="1"/>
    <n v="0"/>
    <n v="1"/>
    <n v="911"/>
    <n v="1"/>
    <x v="0"/>
    <x v="0"/>
    <n v="4"/>
    <n v="76"/>
    <n v="3"/>
    <n v="1"/>
    <n v="2"/>
    <x v="1094"/>
    <n v="4077"/>
    <n v="1"/>
    <n v="13"/>
    <n v="3"/>
    <n v="3"/>
    <n v="80"/>
    <n v="0"/>
    <n v="12"/>
    <n v="2"/>
    <n v="12"/>
    <n v="8"/>
    <n v="1"/>
    <n v="7"/>
  </r>
  <r>
    <x v="1"/>
    <s v="Travel_Rarely"/>
    <x v="2"/>
    <s v="Current Employees"/>
    <x v="1"/>
    <x v="0"/>
    <x v="1172"/>
    <n v="1954"/>
    <x v="1"/>
    <x v="4"/>
    <x v="1"/>
    <s v="No"/>
    <s v="Y"/>
    <n v="5"/>
    <n v="-2"/>
    <n v="0"/>
    <x v="11"/>
    <x v="1"/>
    <x v="1"/>
    <n v="0"/>
    <n v="1"/>
    <n v="136"/>
    <n v="1"/>
    <x v="3"/>
    <x v="0"/>
    <n v="1"/>
    <n v="89"/>
    <n v="3"/>
    <n v="2"/>
    <n v="3"/>
    <x v="1095"/>
    <n v="6225"/>
    <n v="0"/>
    <n v="12"/>
    <n v="3"/>
    <n v="1"/>
    <n v="80"/>
    <n v="1"/>
    <n v="6"/>
    <n v="2"/>
    <n v="5"/>
    <n v="3"/>
    <n v="0"/>
    <n v="2"/>
  </r>
  <r>
    <x v="1"/>
    <s v="Travel_Rarely"/>
    <x v="1"/>
    <s v="Current Employees"/>
    <x v="1"/>
    <x v="4"/>
    <x v="1173"/>
    <n v="1473"/>
    <x v="1"/>
    <x v="4"/>
    <x v="1"/>
    <s v="No"/>
    <s v="Y"/>
    <n v="0"/>
    <n v="-2"/>
    <n v="0"/>
    <x v="1"/>
    <x v="1"/>
    <x v="1"/>
    <n v="0"/>
    <n v="1"/>
    <n v="1495"/>
    <n v="5"/>
    <x v="2"/>
    <x v="0"/>
    <n v="4"/>
    <n v="96"/>
    <n v="3"/>
    <n v="2"/>
    <n v="4"/>
    <x v="1096"/>
    <n v="21534"/>
    <n v="2"/>
    <n v="14"/>
    <n v="3"/>
    <n v="2"/>
    <n v="80"/>
    <n v="1"/>
    <n v="20"/>
    <n v="2"/>
    <n v="3"/>
    <n v="2"/>
    <n v="1"/>
    <n v="2"/>
  </r>
  <r>
    <x v="1"/>
    <s v="Travel_Rarely"/>
    <x v="0"/>
    <s v="Current Employees"/>
    <x v="1"/>
    <x v="0"/>
    <x v="1174"/>
    <n v="1971"/>
    <x v="1"/>
    <x v="4"/>
    <x v="1"/>
    <s v="No"/>
    <s v="Y"/>
    <n v="1"/>
    <n v="-2"/>
    <n v="0"/>
    <x v="23"/>
    <x v="1"/>
    <x v="1"/>
    <n v="0"/>
    <n v="1"/>
    <n v="574"/>
    <n v="11"/>
    <x v="3"/>
    <x v="0"/>
    <n v="1"/>
    <n v="30"/>
    <n v="3"/>
    <n v="3"/>
    <n v="3"/>
    <x v="1097"/>
    <n v="16873"/>
    <n v="1"/>
    <n v="17"/>
    <n v="3"/>
    <n v="2"/>
    <n v="80"/>
    <n v="1"/>
    <n v="10"/>
    <n v="3"/>
    <n v="10"/>
    <n v="9"/>
    <n v="0"/>
    <n v="9"/>
  </r>
  <r>
    <x v="1"/>
    <s v="Travel_Rarely"/>
    <x v="2"/>
    <s v="Current Employees"/>
    <x v="1"/>
    <x v="4"/>
    <x v="1175"/>
    <n v="1415"/>
    <x v="1"/>
    <x v="2"/>
    <x v="1"/>
    <s v="No"/>
    <s v="Y"/>
    <n v="2"/>
    <n v="-2"/>
    <n v="0"/>
    <x v="36"/>
    <x v="1"/>
    <x v="1"/>
    <n v="0"/>
    <n v="1"/>
    <n v="949"/>
    <n v="1"/>
    <x v="3"/>
    <x v="0"/>
    <n v="4"/>
    <n v="81"/>
    <n v="3"/>
    <n v="1"/>
    <n v="4"/>
    <x v="1098"/>
    <n v="4910"/>
    <n v="4"/>
    <n v="11"/>
    <n v="3"/>
    <n v="2"/>
    <n v="80"/>
    <n v="1"/>
    <n v="7"/>
    <n v="2"/>
    <n v="3"/>
    <n v="2"/>
    <n v="0"/>
    <n v="2"/>
  </r>
  <r>
    <x v="1"/>
    <s v="Travel_Rarely"/>
    <x v="1"/>
    <s v="Current Employees"/>
    <x v="1"/>
    <x v="4"/>
    <x v="1176"/>
    <n v="1438"/>
    <x v="1"/>
    <x v="1"/>
    <x v="1"/>
    <s v="No"/>
    <s v="Y"/>
    <n v="2"/>
    <n v="-2"/>
    <n v="0"/>
    <x v="40"/>
    <x v="1"/>
    <x v="1"/>
    <n v="0"/>
    <n v="1"/>
    <n v="465"/>
    <n v="1"/>
    <x v="3"/>
    <x v="0"/>
    <n v="4"/>
    <n v="74"/>
    <n v="3"/>
    <n v="1"/>
    <n v="4"/>
    <x v="1099"/>
    <n v="10205"/>
    <n v="7"/>
    <n v="12"/>
    <n v="3"/>
    <n v="3"/>
    <n v="80"/>
    <n v="1"/>
    <n v="17"/>
    <n v="2"/>
    <n v="6"/>
    <n v="5"/>
    <n v="1"/>
    <n v="2"/>
  </r>
  <r>
    <x v="1"/>
    <s v="Travel_Rarely"/>
    <x v="0"/>
    <s v="Current Employees"/>
    <x v="1"/>
    <x v="2"/>
    <x v="1177"/>
    <n v="1826"/>
    <x v="1"/>
    <x v="2"/>
    <x v="1"/>
    <s v="No"/>
    <s v="Y"/>
    <n v="2"/>
    <n v="-2"/>
    <n v="0"/>
    <x v="10"/>
    <x v="1"/>
    <x v="1"/>
    <n v="0"/>
    <n v="1"/>
    <n v="185"/>
    <n v="23"/>
    <x v="2"/>
    <x v="0"/>
    <n v="2"/>
    <n v="91"/>
    <n v="1"/>
    <n v="1"/>
    <n v="3"/>
    <x v="1100"/>
    <n v="9696"/>
    <n v="0"/>
    <n v="16"/>
    <n v="3"/>
    <n v="2"/>
    <n v="80"/>
    <n v="1"/>
    <n v="6"/>
    <n v="4"/>
    <n v="5"/>
    <n v="4"/>
    <n v="0"/>
    <n v="3"/>
  </r>
  <r>
    <x v="1"/>
    <s v="Travel_Rarely"/>
    <x v="2"/>
    <s v="Current Employees"/>
    <x v="1"/>
    <x v="2"/>
    <x v="1178"/>
    <n v="1609"/>
    <x v="1"/>
    <x v="1"/>
    <x v="1"/>
    <s v="No"/>
    <s v="Y"/>
    <n v="3"/>
    <n v="-2"/>
    <n v="0"/>
    <x v="7"/>
    <x v="1"/>
    <x v="1"/>
    <n v="0"/>
    <n v="1"/>
    <n v="241"/>
    <n v="7"/>
    <x v="3"/>
    <x v="0"/>
    <n v="2"/>
    <n v="48"/>
    <n v="2"/>
    <n v="1"/>
    <n v="2"/>
    <x v="1101"/>
    <n v="5348"/>
    <n v="1"/>
    <n v="12"/>
    <n v="3"/>
    <n v="2"/>
    <n v="80"/>
    <n v="1"/>
    <n v="6"/>
    <n v="2"/>
    <n v="6"/>
    <n v="4"/>
    <n v="1"/>
    <n v="1"/>
  </r>
  <r>
    <x v="1"/>
    <s v="Travel_Rarely"/>
    <x v="2"/>
    <s v="Current Employees"/>
    <x v="1"/>
    <x v="2"/>
    <x v="1179"/>
    <n v="1696"/>
    <x v="1"/>
    <x v="2"/>
    <x v="1"/>
    <s v="No"/>
    <s v="Y"/>
    <n v="3"/>
    <n v="-2"/>
    <n v="0"/>
    <x v="13"/>
    <x v="1"/>
    <x v="1"/>
    <n v="0"/>
    <n v="1"/>
    <n v="1157"/>
    <n v="5"/>
    <x v="0"/>
    <x v="0"/>
    <n v="2"/>
    <n v="57"/>
    <n v="2"/>
    <n v="2"/>
    <n v="4"/>
    <x v="1102"/>
    <n v="11912"/>
    <n v="1"/>
    <n v="14"/>
    <n v="3"/>
    <n v="3"/>
    <n v="80"/>
    <n v="1"/>
    <n v="15"/>
    <n v="4"/>
    <n v="15"/>
    <n v="10"/>
    <n v="4"/>
    <n v="13"/>
  </r>
  <r>
    <x v="1"/>
    <s v="Travel_Rarely"/>
    <x v="2"/>
    <s v="Current Employees"/>
    <x v="1"/>
    <x v="4"/>
    <x v="1180"/>
    <n v="1931"/>
    <x v="1"/>
    <x v="1"/>
    <x v="1"/>
    <s v="No"/>
    <s v="Y"/>
    <n v="3"/>
    <n v="-2"/>
    <n v="0"/>
    <x v="4"/>
    <x v="1"/>
    <x v="1"/>
    <n v="0"/>
    <n v="1"/>
    <n v="1354"/>
    <n v="2"/>
    <x v="2"/>
    <x v="0"/>
    <n v="4"/>
    <n v="41"/>
    <n v="3"/>
    <n v="1"/>
    <n v="4"/>
    <x v="1103"/>
    <n v="6073"/>
    <n v="1"/>
    <n v="11"/>
    <n v="3"/>
    <n v="3"/>
    <n v="80"/>
    <n v="1"/>
    <n v="6"/>
    <n v="2"/>
    <n v="5"/>
    <n v="3"/>
    <n v="1"/>
    <n v="2"/>
  </r>
  <r>
    <x v="1"/>
    <s v="Travel_Rarely"/>
    <x v="2"/>
    <s v="Current Employees"/>
    <x v="1"/>
    <x v="0"/>
    <x v="1181"/>
    <n v="1721"/>
    <x v="1"/>
    <x v="2"/>
    <x v="1"/>
    <s v="No"/>
    <s v="Y"/>
    <n v="2"/>
    <n v="-2"/>
    <n v="0"/>
    <x v="12"/>
    <x v="1"/>
    <x v="1"/>
    <n v="0"/>
    <n v="1"/>
    <n v="741"/>
    <n v="2"/>
    <x v="2"/>
    <x v="0"/>
    <n v="2"/>
    <n v="69"/>
    <n v="3"/>
    <n v="1"/>
    <n v="3"/>
    <x v="1104"/>
    <n v="18103"/>
    <n v="1"/>
    <n v="14"/>
    <n v="3"/>
    <n v="4"/>
    <n v="80"/>
    <n v="1"/>
    <n v="6"/>
    <n v="4"/>
    <n v="5"/>
    <n v="2"/>
    <n v="0"/>
    <n v="3"/>
  </r>
  <r>
    <x v="1"/>
    <s v="Travel_Rarely"/>
    <x v="2"/>
    <s v="Current Employees"/>
    <x v="1"/>
    <x v="0"/>
    <x v="1182"/>
    <n v="1729"/>
    <x v="1"/>
    <x v="1"/>
    <x v="1"/>
    <s v="No"/>
    <s v="Y"/>
    <n v="2"/>
    <n v="-2"/>
    <n v="0"/>
    <x v="7"/>
    <x v="1"/>
    <x v="1"/>
    <n v="0"/>
    <n v="1"/>
    <n v="793"/>
    <n v="16"/>
    <x v="1"/>
    <x v="0"/>
    <n v="2"/>
    <n v="33"/>
    <n v="3"/>
    <n v="1"/>
    <n v="4"/>
    <x v="1105"/>
    <n v="3811"/>
    <n v="1"/>
    <n v="12"/>
    <n v="3"/>
    <n v="2"/>
    <n v="80"/>
    <n v="1"/>
    <n v="10"/>
    <n v="2"/>
    <n v="10"/>
    <n v="0"/>
    <n v="0"/>
    <n v="8"/>
  </r>
  <r>
    <x v="1"/>
    <s v="Travel_Rarely"/>
    <x v="2"/>
    <s v="Current Employees"/>
    <x v="1"/>
    <x v="0"/>
    <x v="1183"/>
    <n v="1580"/>
    <x v="1"/>
    <x v="1"/>
    <x v="1"/>
    <s v="No"/>
    <s v="Y"/>
    <n v="3"/>
    <n v="-2"/>
    <n v="0"/>
    <x v="13"/>
    <x v="1"/>
    <x v="1"/>
    <n v="0"/>
    <n v="1"/>
    <n v="1351"/>
    <n v="1"/>
    <x v="2"/>
    <x v="0"/>
    <n v="2"/>
    <n v="45"/>
    <n v="3"/>
    <n v="2"/>
    <n v="4"/>
    <x v="299"/>
    <n v="13008"/>
    <n v="9"/>
    <n v="17"/>
    <n v="3"/>
    <n v="2"/>
    <n v="80"/>
    <n v="1"/>
    <n v="9"/>
    <n v="2"/>
    <n v="2"/>
    <n v="2"/>
    <n v="2"/>
    <n v="1"/>
  </r>
  <r>
    <x v="1"/>
    <s v="Travel_Rarely"/>
    <x v="0"/>
    <s v="Current Employees"/>
    <x v="1"/>
    <x v="0"/>
    <x v="1184"/>
    <n v="1903"/>
    <x v="1"/>
    <x v="4"/>
    <x v="1"/>
    <s v="No"/>
    <s v="Y"/>
    <n v="5"/>
    <n v="-2"/>
    <n v="0"/>
    <x v="20"/>
    <x v="1"/>
    <x v="1"/>
    <n v="0"/>
    <n v="1"/>
    <n v="170"/>
    <n v="1"/>
    <x v="2"/>
    <x v="0"/>
    <n v="2"/>
    <n v="78"/>
    <n v="4"/>
    <n v="2"/>
    <n v="3"/>
    <x v="1106"/>
    <n v="9364"/>
    <n v="2"/>
    <n v="15"/>
    <n v="3"/>
    <n v="4"/>
    <n v="80"/>
    <n v="1"/>
    <n v="10"/>
    <n v="3"/>
    <n v="2"/>
    <n v="0"/>
    <n v="2"/>
    <n v="2"/>
  </r>
  <r>
    <x v="1"/>
    <s v="Travel_Rarely"/>
    <x v="0"/>
    <s v="Current Employees"/>
    <x v="1"/>
    <x v="2"/>
    <x v="1185"/>
    <n v="1542"/>
    <x v="1"/>
    <x v="2"/>
    <x v="1"/>
    <s v="No"/>
    <s v="Y"/>
    <n v="3"/>
    <n v="-2"/>
    <n v="0"/>
    <x v="19"/>
    <x v="1"/>
    <x v="1"/>
    <n v="0"/>
    <n v="1"/>
    <n v="1210"/>
    <n v="2"/>
    <x v="3"/>
    <x v="0"/>
    <n v="3"/>
    <n v="68"/>
    <n v="2"/>
    <n v="1"/>
    <n v="2"/>
    <x v="1107"/>
    <n v="24052"/>
    <n v="4"/>
    <n v="14"/>
    <n v="3"/>
    <n v="2"/>
    <n v="80"/>
    <n v="1"/>
    <n v="4"/>
    <n v="3"/>
    <n v="1"/>
    <n v="0"/>
    <n v="0"/>
    <n v="0"/>
  </r>
  <r>
    <x v="1"/>
    <s v="Travel_Rarely"/>
    <x v="0"/>
    <s v="Current Employees"/>
    <x v="1"/>
    <x v="0"/>
    <x v="1186"/>
    <n v="1601"/>
    <x v="1"/>
    <x v="2"/>
    <x v="1"/>
    <s v="No"/>
    <s v="Y"/>
    <n v="5"/>
    <n v="-2"/>
    <n v="0"/>
    <x v="10"/>
    <x v="1"/>
    <x v="1"/>
    <n v="0"/>
    <n v="1"/>
    <n v="1349"/>
    <n v="7"/>
    <x v="0"/>
    <x v="0"/>
    <n v="3"/>
    <n v="63"/>
    <n v="2"/>
    <n v="1"/>
    <n v="4"/>
    <x v="1108"/>
    <n v="7713"/>
    <n v="1"/>
    <n v="18"/>
    <n v="3"/>
    <n v="4"/>
    <n v="80"/>
    <n v="1"/>
    <n v="1"/>
    <n v="2"/>
    <n v="1"/>
    <n v="0"/>
    <n v="0"/>
    <n v="1"/>
  </r>
  <r>
    <x v="1"/>
    <s v="Travel_Rarely"/>
    <x v="0"/>
    <s v="Current Employees"/>
    <x v="1"/>
    <x v="2"/>
    <x v="1187"/>
    <n v="1911"/>
    <x v="1"/>
    <x v="7"/>
    <x v="1"/>
    <s v="No"/>
    <s v="Y"/>
    <n v="3"/>
    <n v="-2"/>
    <n v="0"/>
    <x v="19"/>
    <x v="1"/>
    <x v="1"/>
    <n v="0"/>
    <n v="1"/>
    <n v="1396"/>
    <n v="6"/>
    <x v="3"/>
    <x v="0"/>
    <n v="3"/>
    <n v="83"/>
    <n v="3"/>
    <n v="3"/>
    <n v="3"/>
    <x v="1109"/>
    <n v="14842"/>
    <n v="9"/>
    <n v="13"/>
    <n v="3"/>
    <n v="2"/>
    <n v="80"/>
    <n v="1"/>
    <n v="18"/>
    <n v="4"/>
    <n v="13"/>
    <n v="7"/>
    <n v="5"/>
    <n v="7"/>
  </r>
  <r>
    <x v="1"/>
    <s v="Travel_Rarely"/>
    <x v="2"/>
    <s v="Current Employees"/>
    <x v="1"/>
    <x v="0"/>
    <x v="1188"/>
    <n v="1799"/>
    <x v="1"/>
    <x v="1"/>
    <x v="1"/>
    <s v="No"/>
    <s v="Y"/>
    <n v="6"/>
    <n v="-2"/>
    <n v="0"/>
    <x v="14"/>
    <x v="1"/>
    <x v="1"/>
    <n v="0"/>
    <n v="1"/>
    <n v="1181"/>
    <n v="1"/>
    <x v="3"/>
    <x v="0"/>
    <n v="3"/>
    <n v="82"/>
    <n v="3"/>
    <n v="1"/>
    <n v="4"/>
    <x v="633"/>
    <n v="5531"/>
    <n v="1"/>
    <n v="11"/>
    <n v="3"/>
    <n v="3"/>
    <n v="80"/>
    <n v="1"/>
    <n v="5"/>
    <n v="4"/>
    <n v="5"/>
    <n v="3"/>
    <n v="0"/>
    <n v="3"/>
  </r>
  <r>
    <x v="1"/>
    <s v="Travel_Rarely"/>
    <x v="2"/>
    <s v="Current Employees"/>
    <x v="1"/>
    <x v="0"/>
    <x v="1189"/>
    <n v="1763"/>
    <x v="1"/>
    <x v="4"/>
    <x v="1"/>
    <s v="No"/>
    <s v="Y"/>
    <n v="3"/>
    <n v="-2"/>
    <n v="0"/>
    <x v="7"/>
    <x v="1"/>
    <x v="1"/>
    <n v="0"/>
    <n v="1"/>
    <n v="305"/>
    <n v="16"/>
    <x v="3"/>
    <x v="0"/>
    <n v="3"/>
    <n v="58"/>
    <n v="4"/>
    <n v="2"/>
    <n v="3"/>
    <x v="1110"/>
    <n v="9128"/>
    <n v="3"/>
    <n v="16"/>
    <n v="3"/>
    <n v="3"/>
    <n v="80"/>
    <n v="1"/>
    <n v="10"/>
    <n v="3"/>
    <n v="7"/>
    <n v="0"/>
    <n v="1"/>
    <n v="7"/>
  </r>
  <r>
    <x v="1"/>
    <s v="Travel_Rarely"/>
    <x v="4"/>
    <s v="Current Employees"/>
    <x v="1"/>
    <x v="2"/>
    <x v="1190"/>
    <n v="1707"/>
    <x v="1"/>
    <x v="1"/>
    <x v="1"/>
    <s v="No"/>
    <s v="Y"/>
    <n v="1"/>
    <n v="-2"/>
    <n v="0"/>
    <x v="17"/>
    <x v="1"/>
    <x v="1"/>
    <n v="0"/>
    <n v="1"/>
    <n v="581"/>
    <n v="9"/>
    <x v="3"/>
    <x v="0"/>
    <n v="3"/>
    <n v="62"/>
    <n v="4"/>
    <n v="1"/>
    <n v="3"/>
    <x v="1111"/>
    <n v="17616"/>
    <n v="1"/>
    <n v="16"/>
    <n v="3"/>
    <n v="4"/>
    <n v="80"/>
    <n v="1"/>
    <n v="5"/>
    <n v="3"/>
    <n v="5"/>
    <n v="3"/>
    <n v="0"/>
    <n v="4"/>
  </r>
  <r>
    <x v="1"/>
    <s v="Travel_Rarely"/>
    <x v="0"/>
    <s v="Current Employees"/>
    <x v="1"/>
    <x v="2"/>
    <x v="1191"/>
    <n v="2062"/>
    <x v="1"/>
    <x v="4"/>
    <x v="1"/>
    <s v="No"/>
    <s v="Y"/>
    <n v="5"/>
    <n v="-2"/>
    <n v="0"/>
    <x v="22"/>
    <x v="1"/>
    <x v="1"/>
    <n v="0"/>
    <n v="1"/>
    <n v="613"/>
    <n v="6"/>
    <x v="1"/>
    <x v="0"/>
    <n v="4"/>
    <n v="42"/>
    <n v="2"/>
    <n v="3"/>
    <n v="3"/>
    <x v="1112"/>
    <n v="21457"/>
    <n v="4"/>
    <n v="15"/>
    <n v="3"/>
    <n v="1"/>
    <n v="80"/>
    <n v="1"/>
    <n v="9"/>
    <n v="3"/>
    <n v="7"/>
    <n v="7"/>
    <n v="1"/>
    <n v="7"/>
  </r>
  <r>
    <x v="1"/>
    <s v="Travel_Rarely"/>
    <x v="0"/>
    <s v="Current Employees"/>
    <x v="1"/>
    <x v="0"/>
    <x v="1192"/>
    <n v="1523"/>
    <x v="1"/>
    <x v="7"/>
    <x v="1"/>
    <s v="No"/>
    <s v="Y"/>
    <n v="1"/>
    <n v="-2"/>
    <n v="0"/>
    <x v="20"/>
    <x v="1"/>
    <x v="1"/>
    <n v="0"/>
    <n v="1"/>
    <n v="136"/>
    <n v="28"/>
    <x v="3"/>
    <x v="0"/>
    <n v="4"/>
    <n v="32"/>
    <n v="3"/>
    <n v="4"/>
    <n v="3"/>
    <x v="1113"/>
    <n v="22074"/>
    <n v="3"/>
    <n v="13"/>
    <n v="3"/>
    <n v="3"/>
    <n v="80"/>
    <n v="1"/>
    <n v="24"/>
    <n v="4"/>
    <n v="20"/>
    <n v="6"/>
    <n v="14"/>
    <n v="17"/>
  </r>
  <r>
    <x v="1"/>
    <s v="Travel_Rarely"/>
    <x v="0"/>
    <s v="Current Employees"/>
    <x v="1"/>
    <x v="0"/>
    <x v="1193"/>
    <n v="1728"/>
    <x v="1"/>
    <x v="3"/>
    <x v="1"/>
    <s v="No"/>
    <s v="Y"/>
    <n v="3"/>
    <n v="-2"/>
    <n v="0"/>
    <x v="10"/>
    <x v="1"/>
    <x v="1"/>
    <n v="0"/>
    <n v="1"/>
    <n v="1370"/>
    <n v="27"/>
    <x v="2"/>
    <x v="0"/>
    <n v="4"/>
    <n v="49"/>
    <n v="3"/>
    <n v="2"/>
    <n v="3"/>
    <x v="1114"/>
    <n v="5151"/>
    <n v="2"/>
    <n v="16"/>
    <n v="3"/>
    <n v="2"/>
    <n v="80"/>
    <n v="1"/>
    <n v="17"/>
    <n v="3"/>
    <n v="7"/>
    <n v="7"/>
    <n v="0"/>
    <n v="7"/>
  </r>
  <r>
    <x v="1"/>
    <s v="Travel_Rarely"/>
    <x v="2"/>
    <s v="Current Employees"/>
    <x v="1"/>
    <x v="0"/>
    <x v="1194"/>
    <n v="1798"/>
    <x v="1"/>
    <x v="1"/>
    <x v="1"/>
    <s v="No"/>
    <s v="Y"/>
    <n v="1"/>
    <n v="-2"/>
    <n v="0"/>
    <x v="3"/>
    <x v="1"/>
    <x v="1"/>
    <n v="0"/>
    <n v="1"/>
    <n v="867"/>
    <n v="8"/>
    <x v="2"/>
    <x v="0"/>
    <n v="4"/>
    <n v="90"/>
    <n v="4"/>
    <n v="1"/>
    <n v="3"/>
    <x v="1115"/>
    <n v="6076"/>
    <n v="6"/>
    <n v="19"/>
    <n v="3"/>
    <n v="2"/>
    <n v="80"/>
    <n v="1"/>
    <n v="14"/>
    <n v="3"/>
    <n v="10"/>
    <n v="8"/>
    <n v="7"/>
    <n v="6"/>
  </r>
  <r>
    <x v="1"/>
    <s v="Travel_Rarely"/>
    <x v="4"/>
    <s v="Current Employees"/>
    <x v="1"/>
    <x v="4"/>
    <x v="1195"/>
    <n v="1592"/>
    <x v="1"/>
    <x v="1"/>
    <x v="1"/>
    <s v="No"/>
    <s v="Y"/>
    <n v="2"/>
    <n v="-2"/>
    <n v="0"/>
    <x v="30"/>
    <x v="1"/>
    <x v="1"/>
    <n v="0"/>
    <n v="1"/>
    <n v="977"/>
    <n v="10"/>
    <x v="3"/>
    <x v="0"/>
    <n v="4"/>
    <n v="45"/>
    <n v="4"/>
    <n v="1"/>
    <n v="4"/>
    <x v="97"/>
    <n v="12826"/>
    <n v="2"/>
    <n v="16"/>
    <n v="3"/>
    <n v="4"/>
    <n v="80"/>
    <n v="1"/>
    <n v="4"/>
    <n v="3"/>
    <n v="2"/>
    <n v="2"/>
    <n v="2"/>
    <n v="2"/>
  </r>
  <r>
    <x v="1"/>
    <s v="Travel_Rarely"/>
    <x v="0"/>
    <s v="Current Employees"/>
    <x v="1"/>
    <x v="0"/>
    <x v="1196"/>
    <n v="1682"/>
    <x v="1"/>
    <x v="4"/>
    <x v="1"/>
    <s v="No"/>
    <s v="Y"/>
    <n v="2"/>
    <n v="-2"/>
    <n v="0"/>
    <x v="9"/>
    <x v="1"/>
    <x v="1"/>
    <n v="0"/>
    <n v="1"/>
    <n v="1351"/>
    <n v="26"/>
    <x v="2"/>
    <x v="0"/>
    <n v="1"/>
    <n v="80"/>
    <n v="3"/>
    <n v="2"/>
    <n v="3"/>
    <x v="1116"/>
    <n v="7419"/>
    <n v="6"/>
    <n v="14"/>
    <n v="3"/>
    <n v="2"/>
    <n v="80"/>
    <n v="2"/>
    <n v="10"/>
    <n v="2"/>
    <n v="3"/>
    <n v="2"/>
    <n v="0"/>
    <n v="2"/>
  </r>
  <r>
    <x v="1"/>
    <s v="Travel_Rarely"/>
    <x v="0"/>
    <s v="Current Employees"/>
    <x v="1"/>
    <x v="0"/>
    <x v="1197"/>
    <n v="2012"/>
    <x v="1"/>
    <x v="2"/>
    <x v="1"/>
    <s v="No"/>
    <s v="Y"/>
    <n v="3"/>
    <n v="-2"/>
    <n v="0"/>
    <x v="32"/>
    <x v="1"/>
    <x v="1"/>
    <n v="0"/>
    <n v="1"/>
    <n v="543"/>
    <n v="1"/>
    <x v="2"/>
    <x v="0"/>
    <n v="1"/>
    <n v="83"/>
    <n v="3"/>
    <n v="1"/>
    <n v="4"/>
    <x v="58"/>
    <n v="4060"/>
    <n v="8"/>
    <n v="19"/>
    <n v="3"/>
    <n v="3"/>
    <n v="80"/>
    <n v="2"/>
    <n v="8"/>
    <n v="2"/>
    <n v="1"/>
    <n v="0"/>
    <n v="0"/>
    <n v="0"/>
  </r>
  <r>
    <x v="1"/>
    <s v="Travel_Rarely"/>
    <x v="0"/>
    <s v="Current Employees"/>
    <x v="1"/>
    <x v="2"/>
    <x v="1198"/>
    <n v="1803"/>
    <x v="1"/>
    <x v="4"/>
    <x v="1"/>
    <s v="No"/>
    <s v="Y"/>
    <n v="2"/>
    <n v="-2"/>
    <n v="0"/>
    <x v="19"/>
    <x v="1"/>
    <x v="1"/>
    <n v="0"/>
    <n v="1"/>
    <n v="1128"/>
    <n v="13"/>
    <x v="3"/>
    <x v="0"/>
    <n v="2"/>
    <n v="95"/>
    <n v="4"/>
    <n v="2"/>
    <n v="3"/>
    <x v="1117"/>
    <n v="5696"/>
    <n v="5"/>
    <n v="18"/>
    <n v="3"/>
    <n v="3"/>
    <n v="80"/>
    <n v="2"/>
    <n v="10"/>
    <n v="2"/>
    <n v="0"/>
    <n v="0"/>
    <n v="0"/>
    <n v="0"/>
  </r>
  <r>
    <x v="1"/>
    <s v="Travel_Rarely"/>
    <x v="0"/>
    <s v="Current Employees"/>
    <x v="1"/>
    <x v="0"/>
    <x v="1199"/>
    <n v="1596"/>
    <x v="1"/>
    <x v="2"/>
    <x v="1"/>
    <s v="No"/>
    <s v="Y"/>
    <n v="3"/>
    <n v="-2"/>
    <n v="0"/>
    <x v="10"/>
    <x v="1"/>
    <x v="1"/>
    <n v="0"/>
    <n v="1"/>
    <n v="750"/>
    <n v="28"/>
    <x v="3"/>
    <x v="0"/>
    <n v="2"/>
    <n v="46"/>
    <n v="4"/>
    <n v="2"/>
    <n v="3"/>
    <x v="21"/>
    <n v="25348"/>
    <n v="1"/>
    <n v="17"/>
    <n v="3"/>
    <n v="4"/>
    <n v="80"/>
    <n v="2"/>
    <n v="10"/>
    <n v="2"/>
    <n v="10"/>
    <n v="9"/>
    <n v="6"/>
    <n v="8"/>
  </r>
  <r>
    <x v="1"/>
    <s v="Travel_Rarely"/>
    <x v="2"/>
    <s v="Current Employees"/>
    <x v="1"/>
    <x v="0"/>
    <x v="1200"/>
    <n v="1514"/>
    <x v="1"/>
    <x v="3"/>
    <x v="1"/>
    <s v="No"/>
    <s v="Y"/>
    <n v="2"/>
    <n v="-2"/>
    <n v="0"/>
    <x v="14"/>
    <x v="1"/>
    <x v="1"/>
    <n v="0"/>
    <n v="1"/>
    <n v="1083"/>
    <n v="29"/>
    <x v="1"/>
    <x v="0"/>
    <n v="3"/>
    <n v="96"/>
    <n v="1"/>
    <n v="2"/>
    <n v="2"/>
    <x v="1118"/>
    <n v="3173"/>
    <n v="1"/>
    <n v="14"/>
    <n v="3"/>
    <n v="2"/>
    <n v="80"/>
    <n v="2"/>
    <n v="8"/>
    <n v="2"/>
    <n v="8"/>
    <n v="6"/>
    <n v="1"/>
    <n v="7"/>
  </r>
  <r>
    <x v="1"/>
    <s v="Travel_Rarely"/>
    <x v="2"/>
    <s v="Current Employees"/>
    <x v="1"/>
    <x v="0"/>
    <x v="1201"/>
    <n v="1558"/>
    <x v="1"/>
    <x v="1"/>
    <x v="1"/>
    <s v="No"/>
    <s v="Y"/>
    <n v="2"/>
    <n v="-2"/>
    <n v="0"/>
    <x v="11"/>
    <x v="1"/>
    <x v="1"/>
    <n v="0"/>
    <n v="1"/>
    <n v="598"/>
    <n v="9"/>
    <x v="3"/>
    <x v="0"/>
    <n v="3"/>
    <n v="91"/>
    <n v="4"/>
    <n v="1"/>
    <n v="3"/>
    <x v="163"/>
    <n v="22376"/>
    <n v="6"/>
    <n v="18"/>
    <n v="3"/>
    <n v="1"/>
    <n v="80"/>
    <n v="2"/>
    <n v="5"/>
    <n v="2"/>
    <n v="1"/>
    <n v="0"/>
    <n v="0"/>
    <n v="0"/>
  </r>
  <r>
    <x v="1"/>
    <s v="Travel_Rarely"/>
    <x v="0"/>
    <s v="Current Employees"/>
    <x v="1"/>
    <x v="2"/>
    <x v="1202"/>
    <n v="1618"/>
    <x v="1"/>
    <x v="3"/>
    <x v="1"/>
    <s v="No"/>
    <s v="Y"/>
    <n v="3"/>
    <n v="-2"/>
    <n v="0"/>
    <x v="22"/>
    <x v="1"/>
    <x v="1"/>
    <n v="0"/>
    <n v="1"/>
    <n v="1387"/>
    <n v="10"/>
    <x v="4"/>
    <x v="0"/>
    <n v="2"/>
    <n v="76"/>
    <n v="3"/>
    <n v="2"/>
    <n v="1"/>
    <x v="1119"/>
    <n v="3835"/>
    <n v="2"/>
    <n v="13"/>
    <n v="3"/>
    <n v="4"/>
    <n v="80"/>
    <n v="3"/>
    <n v="10"/>
    <n v="3"/>
    <n v="7"/>
    <n v="7"/>
    <n v="7"/>
    <n v="7"/>
  </r>
  <r>
    <x v="1"/>
    <s v="Travel_Rarely"/>
    <x v="2"/>
    <s v="Current Employees"/>
    <x v="1"/>
    <x v="2"/>
    <x v="1203"/>
    <n v="1698"/>
    <x v="1"/>
    <x v="2"/>
    <x v="1"/>
    <s v="No"/>
    <s v="Y"/>
    <n v="6"/>
    <n v="-2"/>
    <n v="0"/>
    <x v="3"/>
    <x v="1"/>
    <x v="1"/>
    <n v="0"/>
    <n v="1"/>
    <n v="267"/>
    <n v="21"/>
    <x v="3"/>
    <x v="0"/>
    <n v="2"/>
    <n v="79"/>
    <n v="4"/>
    <n v="1"/>
    <n v="2"/>
    <x v="14"/>
    <n v="13637"/>
    <n v="1"/>
    <n v="18"/>
    <n v="3"/>
    <n v="4"/>
    <n v="80"/>
    <n v="3"/>
    <n v="14"/>
    <n v="3"/>
    <n v="14"/>
    <n v="11"/>
    <n v="2"/>
    <n v="13"/>
  </r>
  <r>
    <x v="1"/>
    <s v="Travel_Rarely"/>
    <x v="3"/>
    <s v="Current Employees"/>
    <x v="1"/>
    <x v="2"/>
    <x v="1204"/>
    <n v="1770"/>
    <x v="1"/>
    <x v="7"/>
    <x v="1"/>
    <s v="No"/>
    <s v="Y"/>
    <n v="2"/>
    <n v="-2"/>
    <n v="0"/>
    <x v="27"/>
    <x v="1"/>
    <x v="1"/>
    <n v="0"/>
    <n v="1"/>
    <n v="478"/>
    <n v="2"/>
    <x v="3"/>
    <x v="0"/>
    <n v="3"/>
    <n v="60"/>
    <n v="2"/>
    <n v="5"/>
    <n v="1"/>
    <x v="1120"/>
    <n v="19805"/>
    <n v="8"/>
    <n v="12"/>
    <n v="3"/>
    <n v="2"/>
    <n v="80"/>
    <n v="3"/>
    <n v="34"/>
    <n v="3"/>
    <n v="1"/>
    <n v="0"/>
    <n v="0"/>
    <n v="0"/>
  </r>
  <r>
    <x v="1"/>
    <s v="Travel_Rarely"/>
    <x v="0"/>
    <s v="Current Employees"/>
    <x v="1"/>
    <x v="0"/>
    <x v="1205"/>
    <n v="1631"/>
    <x v="1"/>
    <x v="3"/>
    <x v="1"/>
    <s v="No"/>
    <s v="Y"/>
    <n v="2"/>
    <n v="-2"/>
    <n v="0"/>
    <x v="2"/>
    <x v="1"/>
    <x v="1"/>
    <n v="0"/>
    <n v="1"/>
    <n v="671"/>
    <n v="19"/>
    <x v="3"/>
    <x v="0"/>
    <n v="3"/>
    <n v="85"/>
    <n v="3"/>
    <n v="2"/>
    <n v="3"/>
    <x v="1121"/>
    <n v="26493"/>
    <n v="3"/>
    <n v="17"/>
    <n v="3"/>
    <n v="1"/>
    <n v="80"/>
    <n v="3"/>
    <n v="9"/>
    <n v="2"/>
    <n v="4"/>
    <n v="3"/>
    <n v="0"/>
    <n v="2"/>
  </r>
  <r>
    <x v="1"/>
    <s v="Travel_Rarely"/>
    <x v="2"/>
    <s v="Current Employees"/>
    <x v="1"/>
    <x v="2"/>
    <x v="1206"/>
    <n v="1718"/>
    <x v="1"/>
    <x v="2"/>
    <x v="1"/>
    <s v="No"/>
    <s v="Y"/>
    <n v="3"/>
    <n v="-2"/>
    <n v="0"/>
    <x v="25"/>
    <x v="1"/>
    <x v="1"/>
    <n v="0"/>
    <n v="1"/>
    <n v="390"/>
    <n v="17"/>
    <x v="2"/>
    <x v="0"/>
    <n v="4"/>
    <n v="62"/>
    <n v="1"/>
    <n v="1"/>
    <n v="3"/>
    <x v="1122"/>
    <n v="6217"/>
    <n v="1"/>
    <n v="15"/>
    <n v="3"/>
    <n v="3"/>
    <n v="80"/>
    <n v="3"/>
    <n v="3"/>
    <n v="4"/>
    <n v="3"/>
    <n v="2"/>
    <n v="0"/>
    <n v="2"/>
  </r>
  <r>
    <x v="1"/>
    <s v="Travel_Rarely"/>
    <x v="0"/>
    <s v="Current Employees"/>
    <x v="1"/>
    <x v="0"/>
    <x v="1207"/>
    <n v="1435"/>
    <x v="1"/>
    <x v="2"/>
    <x v="0"/>
    <s v="No"/>
    <s v="Y"/>
    <n v="2"/>
    <n v="-2"/>
    <n v="0"/>
    <x v="9"/>
    <x v="1"/>
    <x v="1"/>
    <n v="0"/>
    <n v="1"/>
    <n v="172"/>
    <n v="4"/>
    <x v="2"/>
    <x v="0"/>
    <n v="1"/>
    <n v="37"/>
    <n v="2"/>
    <n v="2"/>
    <n v="4"/>
    <x v="1123"/>
    <n v="22604"/>
    <n v="1"/>
    <n v="16"/>
    <n v="3"/>
    <n v="3"/>
    <n v="80"/>
    <n v="0"/>
    <n v="10"/>
    <n v="2"/>
    <n v="10"/>
    <n v="4"/>
    <n v="1"/>
    <n v="8"/>
  </r>
  <r>
    <x v="1"/>
    <s v="Travel_Rarely"/>
    <x v="0"/>
    <s v="Current Employees"/>
    <x v="1"/>
    <x v="0"/>
    <x v="1208"/>
    <n v="1659"/>
    <x v="1"/>
    <x v="2"/>
    <x v="0"/>
    <s v="No"/>
    <s v="Y"/>
    <n v="4"/>
    <n v="-2"/>
    <n v="0"/>
    <x v="9"/>
    <x v="1"/>
    <x v="1"/>
    <n v="0"/>
    <n v="1"/>
    <n v="311"/>
    <n v="7"/>
    <x v="3"/>
    <x v="0"/>
    <n v="1"/>
    <n v="77"/>
    <n v="3"/>
    <n v="1"/>
    <n v="2"/>
    <x v="1124"/>
    <n v="10950"/>
    <n v="2"/>
    <n v="11"/>
    <n v="3"/>
    <n v="3"/>
    <n v="80"/>
    <n v="0"/>
    <n v="15"/>
    <n v="3"/>
    <n v="4"/>
    <n v="3"/>
    <n v="1"/>
    <n v="3"/>
  </r>
  <r>
    <x v="1"/>
    <s v="Travel_Rarely"/>
    <x v="4"/>
    <s v="Current Employees"/>
    <x v="1"/>
    <x v="0"/>
    <x v="1209"/>
    <n v="1533"/>
    <x v="1"/>
    <x v="2"/>
    <x v="0"/>
    <s v="No"/>
    <s v="Y"/>
    <n v="2"/>
    <n v="-2"/>
    <n v="0"/>
    <x v="30"/>
    <x v="1"/>
    <x v="1"/>
    <n v="0"/>
    <n v="1"/>
    <n v="507"/>
    <n v="20"/>
    <x v="1"/>
    <x v="0"/>
    <n v="1"/>
    <n v="97"/>
    <n v="3"/>
    <n v="2"/>
    <n v="3"/>
    <x v="1125"/>
    <n v="24812"/>
    <n v="0"/>
    <n v="14"/>
    <n v="3"/>
    <n v="2"/>
    <n v="80"/>
    <n v="0"/>
    <n v="5"/>
    <n v="3"/>
    <n v="4"/>
    <n v="3"/>
    <n v="1"/>
    <n v="2"/>
  </r>
  <r>
    <x v="1"/>
    <s v="Travel_Rarely"/>
    <x v="2"/>
    <s v="Current Employees"/>
    <x v="1"/>
    <x v="2"/>
    <x v="1210"/>
    <n v="1577"/>
    <x v="1"/>
    <x v="1"/>
    <x v="0"/>
    <s v="No"/>
    <s v="Y"/>
    <n v="4"/>
    <n v="-2"/>
    <n v="0"/>
    <x v="13"/>
    <x v="1"/>
    <x v="1"/>
    <n v="0"/>
    <n v="1"/>
    <n v="479"/>
    <n v="7"/>
    <x v="2"/>
    <x v="0"/>
    <n v="1"/>
    <n v="35"/>
    <n v="3"/>
    <n v="1"/>
    <n v="4"/>
    <x v="1126"/>
    <n v="22061"/>
    <n v="1"/>
    <n v="13"/>
    <n v="3"/>
    <n v="3"/>
    <n v="80"/>
    <n v="0"/>
    <n v="1"/>
    <n v="1"/>
    <n v="1"/>
    <n v="0"/>
    <n v="0"/>
    <n v="0"/>
  </r>
  <r>
    <x v="1"/>
    <s v="Travel_Rarely"/>
    <x v="0"/>
    <s v="Current Employees"/>
    <x v="1"/>
    <x v="0"/>
    <x v="1211"/>
    <n v="2014"/>
    <x v="1"/>
    <x v="1"/>
    <x v="0"/>
    <s v="No"/>
    <s v="Y"/>
    <n v="2"/>
    <n v="-2"/>
    <n v="0"/>
    <x v="22"/>
    <x v="1"/>
    <x v="1"/>
    <n v="0"/>
    <n v="1"/>
    <n v="116"/>
    <n v="24"/>
    <x v="1"/>
    <x v="0"/>
    <n v="1"/>
    <n v="52"/>
    <n v="3"/>
    <n v="2"/>
    <n v="4"/>
    <x v="1127"/>
    <n v="5340"/>
    <n v="7"/>
    <n v="13"/>
    <n v="3"/>
    <n v="1"/>
    <n v="80"/>
    <n v="0"/>
    <n v="18"/>
    <n v="3"/>
    <n v="7"/>
    <n v="7"/>
    <n v="1"/>
    <n v="7"/>
  </r>
  <r>
    <x v="1"/>
    <s v="Travel_Rarely"/>
    <x v="4"/>
    <s v="Current Employees"/>
    <x v="1"/>
    <x v="0"/>
    <x v="1212"/>
    <n v="1981"/>
    <x v="1"/>
    <x v="4"/>
    <x v="0"/>
    <s v="No"/>
    <s v="Y"/>
    <n v="2"/>
    <n v="-2"/>
    <n v="0"/>
    <x v="17"/>
    <x v="1"/>
    <x v="1"/>
    <n v="0"/>
    <n v="1"/>
    <n v="771"/>
    <n v="1"/>
    <x v="0"/>
    <x v="0"/>
    <n v="2"/>
    <n v="45"/>
    <n v="2"/>
    <n v="2"/>
    <n v="3"/>
    <x v="1128"/>
    <n v="14120"/>
    <n v="1"/>
    <n v="12"/>
    <n v="3"/>
    <n v="2"/>
    <n v="80"/>
    <n v="0"/>
    <n v="4"/>
    <n v="2"/>
    <n v="4"/>
    <n v="3"/>
    <n v="1"/>
    <n v="2"/>
  </r>
  <r>
    <x v="1"/>
    <s v="Travel_Rarely"/>
    <x v="0"/>
    <s v="Current Employees"/>
    <x v="1"/>
    <x v="2"/>
    <x v="1213"/>
    <n v="2008"/>
    <x v="1"/>
    <x v="1"/>
    <x v="0"/>
    <s v="No"/>
    <s v="Y"/>
    <n v="5"/>
    <n v="-2"/>
    <n v="0"/>
    <x v="10"/>
    <x v="1"/>
    <x v="1"/>
    <n v="0"/>
    <n v="1"/>
    <n v="1395"/>
    <n v="9"/>
    <x v="2"/>
    <x v="0"/>
    <n v="2"/>
    <n v="48"/>
    <n v="3"/>
    <n v="2"/>
    <n v="3"/>
    <x v="1129"/>
    <n v="18698"/>
    <n v="1"/>
    <n v="19"/>
    <n v="3"/>
    <n v="2"/>
    <n v="80"/>
    <n v="0"/>
    <n v="10"/>
    <n v="3"/>
    <n v="10"/>
    <n v="7"/>
    <n v="0"/>
    <n v="8"/>
  </r>
  <r>
    <x v="1"/>
    <s v="Travel_Rarely"/>
    <x v="0"/>
    <s v="Current Employees"/>
    <x v="1"/>
    <x v="0"/>
    <x v="1214"/>
    <n v="1814"/>
    <x v="1"/>
    <x v="4"/>
    <x v="0"/>
    <s v="No"/>
    <s v="Y"/>
    <n v="3"/>
    <n v="-2"/>
    <n v="0"/>
    <x v="0"/>
    <x v="1"/>
    <x v="1"/>
    <n v="0"/>
    <n v="1"/>
    <n v="447"/>
    <n v="5"/>
    <x v="3"/>
    <x v="0"/>
    <n v="2"/>
    <n v="85"/>
    <n v="4"/>
    <n v="2"/>
    <n v="2"/>
    <x v="1130"/>
    <n v="15530"/>
    <n v="3"/>
    <n v="12"/>
    <n v="3"/>
    <n v="1"/>
    <n v="80"/>
    <n v="0"/>
    <n v="11"/>
    <n v="1"/>
    <n v="3"/>
    <n v="2"/>
    <n v="1"/>
    <n v="2"/>
  </r>
  <r>
    <x v="1"/>
    <s v="Travel_Rarely"/>
    <x v="0"/>
    <s v="Current Employees"/>
    <x v="1"/>
    <x v="0"/>
    <x v="1215"/>
    <n v="2048"/>
    <x v="1"/>
    <x v="1"/>
    <x v="0"/>
    <s v="No"/>
    <s v="Y"/>
    <n v="2"/>
    <n v="-2"/>
    <n v="0"/>
    <x v="32"/>
    <x v="1"/>
    <x v="1"/>
    <n v="0"/>
    <n v="1"/>
    <n v="1322"/>
    <n v="2"/>
    <x v="2"/>
    <x v="0"/>
    <n v="3"/>
    <n v="52"/>
    <n v="2"/>
    <n v="1"/>
    <n v="3"/>
    <x v="1131"/>
    <n v="2725"/>
    <n v="2"/>
    <n v="14"/>
    <n v="3"/>
    <n v="4"/>
    <n v="80"/>
    <n v="0"/>
    <n v="8"/>
    <n v="3"/>
    <n v="2"/>
    <n v="2"/>
    <n v="2"/>
    <n v="2"/>
  </r>
  <r>
    <x v="1"/>
    <s v="Travel_Rarely"/>
    <x v="2"/>
    <s v="Current Employees"/>
    <x v="1"/>
    <x v="2"/>
    <x v="1216"/>
    <n v="1952"/>
    <x v="1"/>
    <x v="2"/>
    <x v="0"/>
    <s v="No"/>
    <s v="Y"/>
    <n v="6"/>
    <n v="-2"/>
    <n v="0"/>
    <x v="25"/>
    <x v="1"/>
    <x v="1"/>
    <n v="0"/>
    <n v="1"/>
    <n v="157"/>
    <n v="1"/>
    <x v="3"/>
    <x v="0"/>
    <n v="3"/>
    <n v="95"/>
    <n v="3"/>
    <n v="1"/>
    <n v="1"/>
    <x v="1132"/>
    <n v="20006"/>
    <n v="0"/>
    <n v="13"/>
    <n v="3"/>
    <n v="4"/>
    <n v="80"/>
    <n v="0"/>
    <n v="8"/>
    <n v="2"/>
    <n v="7"/>
    <n v="7"/>
    <n v="7"/>
    <n v="6"/>
  </r>
  <r>
    <x v="1"/>
    <s v="Travel_Rarely"/>
    <x v="1"/>
    <s v="Current Employees"/>
    <x v="1"/>
    <x v="0"/>
    <x v="1217"/>
    <n v="1727"/>
    <x v="1"/>
    <x v="4"/>
    <x v="0"/>
    <s v="No"/>
    <s v="Y"/>
    <n v="3"/>
    <n v="-2"/>
    <n v="0"/>
    <x v="21"/>
    <x v="1"/>
    <x v="1"/>
    <n v="0"/>
    <n v="1"/>
    <n v="717"/>
    <n v="13"/>
    <x v="2"/>
    <x v="0"/>
    <n v="3"/>
    <n v="34"/>
    <n v="3"/>
    <n v="2"/>
    <n v="2"/>
    <x v="622"/>
    <n v="9697"/>
    <n v="6"/>
    <n v="14"/>
    <n v="3"/>
    <n v="4"/>
    <n v="80"/>
    <n v="0"/>
    <n v="19"/>
    <n v="3"/>
    <n v="10"/>
    <n v="7"/>
    <n v="0"/>
    <n v="9"/>
  </r>
  <r>
    <x v="1"/>
    <s v="Travel_Rarely"/>
    <x v="1"/>
    <s v="Current Employees"/>
    <x v="1"/>
    <x v="0"/>
    <x v="1218"/>
    <n v="1677"/>
    <x v="1"/>
    <x v="5"/>
    <x v="0"/>
    <s v="No"/>
    <s v="Y"/>
    <n v="2"/>
    <n v="-2"/>
    <n v="0"/>
    <x v="1"/>
    <x v="1"/>
    <x v="1"/>
    <n v="0"/>
    <n v="1"/>
    <n v="809"/>
    <n v="1"/>
    <x v="3"/>
    <x v="0"/>
    <n v="3"/>
    <n v="36"/>
    <n v="3"/>
    <n v="4"/>
    <n v="3"/>
    <x v="1133"/>
    <n v="22384"/>
    <n v="4"/>
    <n v="14"/>
    <n v="3"/>
    <n v="1"/>
    <n v="80"/>
    <n v="0"/>
    <n v="23"/>
    <n v="3"/>
    <n v="8"/>
    <n v="7"/>
    <n v="0"/>
    <n v="0"/>
  </r>
  <r>
    <x v="1"/>
    <s v="Travel_Rarely"/>
    <x v="4"/>
    <s v="Current Employees"/>
    <x v="1"/>
    <x v="2"/>
    <x v="1219"/>
    <n v="1623"/>
    <x v="1"/>
    <x v="1"/>
    <x v="0"/>
    <s v="No"/>
    <s v="Y"/>
    <n v="2"/>
    <n v="-2"/>
    <n v="0"/>
    <x v="18"/>
    <x v="1"/>
    <x v="1"/>
    <n v="0"/>
    <n v="1"/>
    <n v="546"/>
    <n v="5"/>
    <x v="1"/>
    <x v="0"/>
    <n v="3"/>
    <n v="97"/>
    <n v="3"/>
    <n v="1"/>
    <n v="4"/>
    <x v="1134"/>
    <n v="26009"/>
    <n v="1"/>
    <n v="18"/>
    <n v="3"/>
    <n v="3"/>
    <n v="80"/>
    <n v="0"/>
    <n v="3"/>
    <n v="3"/>
    <n v="2"/>
    <n v="2"/>
    <n v="2"/>
    <n v="2"/>
  </r>
  <r>
    <x v="1"/>
    <s v="Travel_Rarely"/>
    <x v="2"/>
    <s v="Current Employees"/>
    <x v="1"/>
    <x v="1"/>
    <x v="1220"/>
    <n v="1417"/>
    <x v="1"/>
    <x v="2"/>
    <x v="0"/>
    <s v="No"/>
    <s v="Y"/>
    <n v="2"/>
    <n v="-2"/>
    <n v="0"/>
    <x v="25"/>
    <x v="1"/>
    <x v="1"/>
    <n v="0"/>
    <n v="1"/>
    <n v="652"/>
    <n v="7"/>
    <x v="3"/>
    <x v="0"/>
    <n v="3"/>
    <n v="100"/>
    <n v="4"/>
    <n v="1"/>
    <n v="1"/>
    <x v="1135"/>
    <n v="23577"/>
    <n v="0"/>
    <n v="12"/>
    <n v="3"/>
    <n v="4"/>
    <n v="80"/>
    <n v="0"/>
    <n v="8"/>
    <n v="3"/>
    <n v="7"/>
    <n v="7"/>
    <n v="0"/>
    <n v="7"/>
  </r>
  <r>
    <x v="1"/>
    <s v="Travel_Rarely"/>
    <x v="0"/>
    <s v="Current Employees"/>
    <x v="1"/>
    <x v="2"/>
    <x v="1221"/>
    <n v="1564"/>
    <x v="1"/>
    <x v="2"/>
    <x v="0"/>
    <s v="No"/>
    <s v="Y"/>
    <n v="3"/>
    <n v="-2"/>
    <n v="0"/>
    <x v="10"/>
    <x v="1"/>
    <x v="1"/>
    <n v="0"/>
    <n v="1"/>
    <n v="992"/>
    <n v="1"/>
    <x v="3"/>
    <x v="0"/>
    <n v="4"/>
    <n v="68"/>
    <n v="2"/>
    <n v="1"/>
    <n v="1"/>
    <x v="533"/>
    <n v="21731"/>
    <n v="1"/>
    <n v="19"/>
    <n v="3"/>
    <n v="2"/>
    <n v="80"/>
    <n v="0"/>
    <n v="3"/>
    <n v="3"/>
    <n v="3"/>
    <n v="0"/>
    <n v="1"/>
    <n v="2"/>
  </r>
  <r>
    <x v="1"/>
    <s v="Travel_Rarely"/>
    <x v="2"/>
    <s v="Current Employees"/>
    <x v="1"/>
    <x v="0"/>
    <x v="1222"/>
    <n v="1545"/>
    <x v="1"/>
    <x v="3"/>
    <x v="0"/>
    <s v="No"/>
    <s v="Y"/>
    <n v="2"/>
    <n v="-2"/>
    <n v="0"/>
    <x v="3"/>
    <x v="1"/>
    <x v="1"/>
    <n v="0"/>
    <n v="1"/>
    <n v="575"/>
    <n v="25"/>
    <x v="3"/>
    <x v="0"/>
    <n v="4"/>
    <n v="44"/>
    <n v="2"/>
    <n v="2"/>
    <n v="2"/>
    <x v="1136"/>
    <n v="24152"/>
    <n v="1"/>
    <n v="13"/>
    <n v="3"/>
    <n v="4"/>
    <n v="80"/>
    <n v="0"/>
    <n v="5"/>
    <n v="3"/>
    <n v="5"/>
    <n v="3"/>
    <n v="0"/>
    <n v="2"/>
  </r>
  <r>
    <x v="1"/>
    <s v="Travel_Rarely"/>
    <x v="2"/>
    <s v="Current Employees"/>
    <x v="1"/>
    <x v="0"/>
    <x v="1223"/>
    <n v="1883"/>
    <x v="1"/>
    <x v="2"/>
    <x v="0"/>
    <s v="No"/>
    <s v="Y"/>
    <n v="2"/>
    <n v="-2"/>
    <n v="0"/>
    <x v="11"/>
    <x v="1"/>
    <x v="1"/>
    <n v="0"/>
    <n v="1"/>
    <n v="592"/>
    <n v="7"/>
    <x v="3"/>
    <x v="0"/>
    <n v="4"/>
    <n v="59"/>
    <n v="3"/>
    <n v="1"/>
    <n v="1"/>
    <x v="1137"/>
    <n v="19384"/>
    <n v="3"/>
    <n v="14"/>
    <n v="3"/>
    <n v="2"/>
    <n v="80"/>
    <n v="0"/>
    <n v="11"/>
    <n v="3"/>
    <n v="3"/>
    <n v="2"/>
    <n v="1"/>
    <n v="2"/>
  </r>
  <r>
    <x v="1"/>
    <s v="Travel_Rarely"/>
    <x v="2"/>
    <s v="Current Employees"/>
    <x v="1"/>
    <x v="4"/>
    <x v="1224"/>
    <n v="2038"/>
    <x v="1"/>
    <x v="1"/>
    <x v="0"/>
    <s v="No"/>
    <s v="Y"/>
    <n v="4"/>
    <n v="-2"/>
    <n v="0"/>
    <x v="5"/>
    <x v="1"/>
    <x v="1"/>
    <n v="0"/>
    <n v="1"/>
    <n v="529"/>
    <n v="2"/>
    <x v="3"/>
    <x v="0"/>
    <n v="4"/>
    <n v="78"/>
    <n v="3"/>
    <n v="1"/>
    <n v="4"/>
    <x v="1138"/>
    <n v="11288"/>
    <n v="1"/>
    <n v="14"/>
    <n v="3"/>
    <n v="4"/>
    <n v="80"/>
    <n v="0"/>
    <n v="4"/>
    <n v="3"/>
    <n v="4"/>
    <n v="2"/>
    <n v="1"/>
    <n v="2"/>
  </r>
  <r>
    <x v="1"/>
    <s v="Travel_Rarely"/>
    <x v="0"/>
    <s v="Current Employees"/>
    <x v="1"/>
    <x v="0"/>
    <x v="1225"/>
    <n v="1475"/>
    <x v="1"/>
    <x v="1"/>
    <x v="0"/>
    <s v="No"/>
    <s v="Y"/>
    <n v="3"/>
    <n v="-2"/>
    <n v="0"/>
    <x v="20"/>
    <x v="1"/>
    <x v="1"/>
    <n v="0"/>
    <n v="1"/>
    <n v="1467"/>
    <n v="20"/>
    <x v="3"/>
    <x v="0"/>
    <n v="4"/>
    <n v="49"/>
    <n v="3"/>
    <n v="1"/>
    <n v="2"/>
    <x v="1099"/>
    <n v="21158"/>
    <n v="1"/>
    <n v="13"/>
    <n v="3"/>
    <n v="3"/>
    <n v="80"/>
    <n v="0"/>
    <n v="6"/>
    <n v="2"/>
    <n v="5"/>
    <n v="2"/>
    <n v="1"/>
    <n v="3"/>
  </r>
  <r>
    <x v="1"/>
    <s v="Travel_Rarely"/>
    <x v="0"/>
    <s v="Current Employees"/>
    <x v="1"/>
    <x v="0"/>
    <x v="1226"/>
    <n v="1860"/>
    <x v="1"/>
    <x v="2"/>
    <x v="0"/>
    <s v="No"/>
    <s v="Y"/>
    <n v="3"/>
    <n v="-2"/>
    <n v="0"/>
    <x v="19"/>
    <x v="1"/>
    <x v="1"/>
    <n v="0"/>
    <n v="1"/>
    <n v="1142"/>
    <n v="8"/>
    <x v="3"/>
    <x v="0"/>
    <n v="4"/>
    <n v="81"/>
    <n v="3"/>
    <n v="1"/>
    <n v="3"/>
    <x v="1139"/>
    <n v="13624"/>
    <n v="4"/>
    <n v="13"/>
    <n v="3"/>
    <n v="4"/>
    <n v="80"/>
    <n v="0"/>
    <n v="8"/>
    <n v="3"/>
    <n v="0"/>
    <n v="0"/>
    <n v="0"/>
    <n v="0"/>
  </r>
  <r>
    <x v="1"/>
    <s v="Travel_Rarely"/>
    <x v="4"/>
    <s v="Current Employees"/>
    <x v="1"/>
    <x v="0"/>
    <x v="1227"/>
    <n v="2007"/>
    <x v="1"/>
    <x v="1"/>
    <x v="0"/>
    <s v="No"/>
    <s v="Y"/>
    <n v="2"/>
    <n v="-2"/>
    <n v="0"/>
    <x v="15"/>
    <x v="1"/>
    <x v="1"/>
    <n v="0"/>
    <n v="1"/>
    <n v="581"/>
    <n v="1"/>
    <x v="0"/>
    <x v="0"/>
    <n v="4"/>
    <n v="63"/>
    <n v="3"/>
    <n v="1"/>
    <n v="3"/>
    <x v="1140"/>
    <n v="17624"/>
    <n v="0"/>
    <n v="12"/>
    <n v="3"/>
    <n v="4"/>
    <n v="80"/>
    <n v="0"/>
    <n v="4"/>
    <n v="4"/>
    <n v="3"/>
    <n v="2"/>
    <n v="1"/>
    <n v="2"/>
  </r>
  <r>
    <x v="1"/>
    <s v="Travel_Rarely"/>
    <x v="4"/>
    <s v="Current Employees"/>
    <x v="1"/>
    <x v="1"/>
    <x v="1228"/>
    <n v="1982"/>
    <x v="1"/>
    <x v="2"/>
    <x v="0"/>
    <s v="No"/>
    <s v="Y"/>
    <n v="6"/>
    <n v="-2"/>
    <n v="0"/>
    <x v="30"/>
    <x v="1"/>
    <x v="1"/>
    <n v="0"/>
    <n v="1"/>
    <n v="571"/>
    <n v="12"/>
    <x v="0"/>
    <x v="0"/>
    <n v="4"/>
    <n v="78"/>
    <n v="3"/>
    <n v="1"/>
    <n v="4"/>
    <x v="1141"/>
    <n v="13672"/>
    <n v="1"/>
    <n v="13"/>
    <n v="3"/>
    <n v="3"/>
    <n v="80"/>
    <n v="0"/>
    <n v="5"/>
    <n v="4"/>
    <n v="5"/>
    <n v="2"/>
    <n v="1"/>
    <n v="4"/>
  </r>
  <r>
    <x v="1"/>
    <s v="Travel_Rarely"/>
    <x v="1"/>
    <s v="Current Employees"/>
    <x v="1"/>
    <x v="2"/>
    <x v="1229"/>
    <n v="1472"/>
    <x v="1"/>
    <x v="7"/>
    <x v="0"/>
    <s v="No"/>
    <s v="Y"/>
    <n v="2"/>
    <n v="-2"/>
    <n v="0"/>
    <x v="16"/>
    <x v="1"/>
    <x v="1"/>
    <n v="0"/>
    <n v="1"/>
    <n v="447"/>
    <n v="2"/>
    <x v="3"/>
    <x v="0"/>
    <n v="4"/>
    <n v="39"/>
    <n v="4"/>
    <n v="4"/>
    <n v="2"/>
    <x v="1142"/>
    <n v="19764"/>
    <n v="4"/>
    <n v="12"/>
    <n v="3"/>
    <n v="2"/>
    <n v="80"/>
    <n v="0"/>
    <n v="35"/>
    <n v="2"/>
    <n v="9"/>
    <n v="8"/>
    <n v="8"/>
    <n v="8"/>
  </r>
  <r>
    <x v="1"/>
    <s v="Travel_Rarely"/>
    <x v="2"/>
    <s v="Current Employees"/>
    <x v="0"/>
    <x v="0"/>
    <x v="1230"/>
    <n v="1453"/>
    <x v="1"/>
    <x v="0"/>
    <x v="2"/>
    <s v="No"/>
    <s v="Y"/>
    <n v="5"/>
    <n v="-2"/>
    <n v="0"/>
    <x v="12"/>
    <x v="1"/>
    <x v="1"/>
    <n v="0"/>
    <n v="1"/>
    <n v="326"/>
    <n v="8"/>
    <x v="0"/>
    <x v="0"/>
    <n v="1"/>
    <n v="31"/>
    <n v="3"/>
    <n v="3"/>
    <n v="4"/>
    <x v="1143"/>
    <n v="8386"/>
    <n v="1"/>
    <n v="18"/>
    <n v="3"/>
    <n v="1"/>
    <n v="80"/>
    <n v="1"/>
    <n v="13"/>
    <n v="3"/>
    <n v="13"/>
    <n v="7"/>
    <n v="9"/>
    <n v="9"/>
  </r>
  <r>
    <x v="1"/>
    <s v="Travel_Rarely"/>
    <x v="2"/>
    <s v="Current Employees"/>
    <x v="0"/>
    <x v="3"/>
    <x v="1231"/>
    <n v="1754"/>
    <x v="1"/>
    <x v="0"/>
    <x v="2"/>
    <s v="No"/>
    <s v="Y"/>
    <n v="2"/>
    <n v="-2"/>
    <n v="0"/>
    <x v="7"/>
    <x v="1"/>
    <x v="1"/>
    <n v="0"/>
    <n v="1"/>
    <n v="979"/>
    <n v="15"/>
    <x v="0"/>
    <x v="0"/>
    <n v="3"/>
    <n v="94"/>
    <n v="2"/>
    <n v="3"/>
    <n v="2"/>
    <x v="1144"/>
    <n v="3088"/>
    <n v="2"/>
    <n v="11"/>
    <n v="3"/>
    <n v="1"/>
    <n v="80"/>
    <n v="1"/>
    <n v="12"/>
    <n v="3"/>
    <n v="7"/>
    <n v="7"/>
    <n v="1"/>
    <n v="7"/>
  </r>
  <r>
    <x v="1"/>
    <s v="Travel_Rarely"/>
    <x v="0"/>
    <s v="Current Employees"/>
    <x v="0"/>
    <x v="0"/>
    <x v="1232"/>
    <n v="2037"/>
    <x v="1"/>
    <x v="0"/>
    <x v="2"/>
    <s v="No"/>
    <s v="Y"/>
    <n v="5"/>
    <n v="-2"/>
    <n v="0"/>
    <x v="0"/>
    <x v="1"/>
    <x v="1"/>
    <n v="0"/>
    <n v="1"/>
    <n v="930"/>
    <n v="3"/>
    <x v="3"/>
    <x v="0"/>
    <n v="3"/>
    <n v="57"/>
    <n v="2"/>
    <n v="2"/>
    <n v="2"/>
    <x v="1145"/>
    <n v="12227"/>
    <n v="2"/>
    <n v="11"/>
    <n v="3"/>
    <n v="3"/>
    <n v="80"/>
    <n v="1"/>
    <n v="14"/>
    <n v="3"/>
    <n v="5"/>
    <n v="4"/>
    <n v="0"/>
    <n v="4"/>
  </r>
  <r>
    <x v="1"/>
    <s v="Travel_Rarely"/>
    <x v="2"/>
    <s v="Current Employees"/>
    <x v="0"/>
    <x v="2"/>
    <x v="1233"/>
    <n v="1951"/>
    <x v="1"/>
    <x v="0"/>
    <x v="2"/>
    <s v="No"/>
    <s v="Y"/>
    <n v="2"/>
    <n v="-2"/>
    <n v="0"/>
    <x v="13"/>
    <x v="1"/>
    <x v="1"/>
    <n v="0"/>
    <n v="1"/>
    <n v="1239"/>
    <n v="13"/>
    <x v="2"/>
    <x v="0"/>
    <n v="4"/>
    <n v="39"/>
    <n v="3"/>
    <n v="3"/>
    <n v="3"/>
    <x v="1146"/>
    <n v="22914"/>
    <n v="1"/>
    <n v="18"/>
    <n v="3"/>
    <n v="3"/>
    <n v="80"/>
    <n v="1"/>
    <n v="9"/>
    <n v="2"/>
    <n v="8"/>
    <n v="7"/>
    <n v="1"/>
    <n v="1"/>
  </r>
  <r>
    <x v="1"/>
    <s v="Travel_Rarely"/>
    <x v="2"/>
    <s v="Current Employees"/>
    <x v="0"/>
    <x v="0"/>
    <x v="1234"/>
    <n v="1497"/>
    <x v="1"/>
    <x v="0"/>
    <x v="2"/>
    <s v="No"/>
    <s v="Y"/>
    <n v="3"/>
    <n v="-2"/>
    <n v="0"/>
    <x v="11"/>
    <x v="1"/>
    <x v="1"/>
    <n v="0"/>
    <n v="1"/>
    <n v="1246"/>
    <n v="19"/>
    <x v="3"/>
    <x v="0"/>
    <n v="3"/>
    <n v="77"/>
    <n v="2"/>
    <n v="2"/>
    <n v="3"/>
    <x v="1147"/>
    <n v="23757"/>
    <n v="1"/>
    <n v="14"/>
    <n v="3"/>
    <n v="3"/>
    <n v="80"/>
    <n v="2"/>
    <n v="10"/>
    <n v="3"/>
    <n v="10"/>
    <n v="7"/>
    <n v="0"/>
    <n v="4"/>
  </r>
  <r>
    <x v="1"/>
    <s v="Travel_Rarely"/>
    <x v="2"/>
    <s v="Current Employees"/>
    <x v="0"/>
    <x v="2"/>
    <x v="1235"/>
    <n v="1670"/>
    <x v="1"/>
    <x v="0"/>
    <x v="2"/>
    <s v="No"/>
    <s v="Y"/>
    <n v="5"/>
    <n v="-2"/>
    <n v="0"/>
    <x v="3"/>
    <x v="1"/>
    <x v="1"/>
    <n v="0"/>
    <n v="1"/>
    <n v="392"/>
    <n v="2"/>
    <x v="2"/>
    <x v="0"/>
    <n v="4"/>
    <n v="93"/>
    <n v="3"/>
    <n v="2"/>
    <n v="4"/>
    <x v="1148"/>
    <n v="3921"/>
    <n v="1"/>
    <n v="14"/>
    <n v="3"/>
    <n v="3"/>
    <n v="80"/>
    <n v="2"/>
    <n v="6"/>
    <n v="3"/>
    <n v="6"/>
    <n v="2"/>
    <n v="0"/>
    <n v="4"/>
  </r>
  <r>
    <x v="1"/>
    <s v="Travel_Rarely"/>
    <x v="1"/>
    <s v="Current Employees"/>
    <x v="0"/>
    <x v="3"/>
    <x v="1236"/>
    <n v="1466"/>
    <x v="1"/>
    <x v="0"/>
    <x v="2"/>
    <s v="No"/>
    <s v="Y"/>
    <n v="3"/>
    <n v="-2"/>
    <n v="0"/>
    <x v="26"/>
    <x v="1"/>
    <x v="1"/>
    <n v="0"/>
    <n v="1"/>
    <n v="1221"/>
    <n v="7"/>
    <x v="3"/>
    <x v="0"/>
    <n v="3"/>
    <n v="96"/>
    <n v="3"/>
    <n v="2"/>
    <n v="2"/>
    <x v="1149"/>
    <n v="24795"/>
    <n v="4"/>
    <n v="11"/>
    <n v="3"/>
    <n v="1"/>
    <n v="80"/>
    <n v="3"/>
    <n v="15"/>
    <n v="3"/>
    <n v="2"/>
    <n v="2"/>
    <n v="2"/>
    <n v="2"/>
  </r>
  <r>
    <x v="1"/>
    <s v="Travel_Rarely"/>
    <x v="0"/>
    <s v="Current Employees"/>
    <x v="0"/>
    <x v="2"/>
    <x v="1237"/>
    <n v="1548"/>
    <x v="1"/>
    <x v="0"/>
    <x v="1"/>
    <s v="No"/>
    <s v="Y"/>
    <n v="5"/>
    <n v="-2"/>
    <n v="0"/>
    <x v="32"/>
    <x v="1"/>
    <x v="1"/>
    <n v="0"/>
    <n v="1"/>
    <n v="1342"/>
    <n v="9"/>
    <x v="0"/>
    <x v="0"/>
    <n v="1"/>
    <n v="47"/>
    <n v="3"/>
    <n v="2"/>
    <n v="1"/>
    <x v="67"/>
    <n v="19345"/>
    <n v="0"/>
    <n v="12"/>
    <n v="3"/>
    <n v="4"/>
    <n v="80"/>
    <n v="0"/>
    <n v="9"/>
    <n v="4"/>
    <n v="8"/>
    <n v="4"/>
    <n v="7"/>
    <n v="1"/>
  </r>
  <r>
    <x v="1"/>
    <s v="Travel_Rarely"/>
    <x v="2"/>
    <s v="Current Employees"/>
    <x v="0"/>
    <x v="0"/>
    <x v="1238"/>
    <n v="1560"/>
    <x v="1"/>
    <x v="0"/>
    <x v="1"/>
    <s v="No"/>
    <s v="Y"/>
    <n v="6"/>
    <n v="-2"/>
    <n v="0"/>
    <x v="3"/>
    <x v="1"/>
    <x v="1"/>
    <n v="0"/>
    <n v="1"/>
    <n v="1242"/>
    <n v="8"/>
    <x v="2"/>
    <x v="0"/>
    <n v="1"/>
    <n v="46"/>
    <n v="3"/>
    <n v="2"/>
    <n v="1"/>
    <x v="1150"/>
    <n v="10589"/>
    <n v="2"/>
    <n v="13"/>
    <n v="3"/>
    <n v="4"/>
    <n v="80"/>
    <n v="1"/>
    <n v="8"/>
    <n v="1"/>
    <n v="2"/>
    <n v="2"/>
    <n v="2"/>
    <n v="2"/>
  </r>
  <r>
    <x v="1"/>
    <s v="Travel_Rarely"/>
    <x v="2"/>
    <s v="Current Employees"/>
    <x v="0"/>
    <x v="0"/>
    <x v="1239"/>
    <n v="1996"/>
    <x v="1"/>
    <x v="6"/>
    <x v="1"/>
    <s v="No"/>
    <s v="Y"/>
    <n v="1"/>
    <n v="-2"/>
    <n v="0"/>
    <x v="12"/>
    <x v="1"/>
    <x v="1"/>
    <n v="0"/>
    <n v="1"/>
    <n v="1154"/>
    <n v="2"/>
    <x v="0"/>
    <x v="0"/>
    <n v="1"/>
    <n v="54"/>
    <n v="3"/>
    <n v="1"/>
    <n v="3"/>
    <x v="1151"/>
    <n v="6393"/>
    <n v="0"/>
    <n v="19"/>
    <n v="3"/>
    <n v="3"/>
    <n v="80"/>
    <n v="1"/>
    <n v="3"/>
    <n v="3"/>
    <n v="2"/>
    <n v="2"/>
    <n v="1"/>
    <n v="2"/>
  </r>
  <r>
    <x v="1"/>
    <s v="Travel_Rarely"/>
    <x v="2"/>
    <s v="Current Employees"/>
    <x v="0"/>
    <x v="4"/>
    <x v="1240"/>
    <n v="1749"/>
    <x v="1"/>
    <x v="0"/>
    <x v="1"/>
    <s v="No"/>
    <s v="Y"/>
    <n v="3"/>
    <n v="-2"/>
    <n v="0"/>
    <x v="12"/>
    <x v="1"/>
    <x v="1"/>
    <n v="0"/>
    <n v="1"/>
    <n v="1003"/>
    <n v="5"/>
    <x v="3"/>
    <x v="0"/>
    <n v="4"/>
    <n v="51"/>
    <n v="3"/>
    <n v="2"/>
    <n v="4"/>
    <x v="1152"/>
    <n v="20943"/>
    <n v="1"/>
    <n v="19"/>
    <n v="3"/>
    <n v="3"/>
    <n v="80"/>
    <n v="1"/>
    <n v="6"/>
    <n v="3"/>
    <n v="5"/>
    <n v="2"/>
    <n v="0"/>
    <n v="2"/>
  </r>
  <r>
    <x v="1"/>
    <s v="Travel_Rarely"/>
    <x v="2"/>
    <s v="Current Employees"/>
    <x v="0"/>
    <x v="2"/>
    <x v="1241"/>
    <n v="2013"/>
    <x v="1"/>
    <x v="6"/>
    <x v="1"/>
    <s v="No"/>
    <s v="Y"/>
    <n v="2"/>
    <n v="-2"/>
    <n v="0"/>
    <x v="5"/>
    <x v="1"/>
    <x v="1"/>
    <n v="0"/>
    <n v="1"/>
    <n v="234"/>
    <n v="1"/>
    <x v="2"/>
    <x v="0"/>
    <n v="2"/>
    <n v="68"/>
    <n v="2"/>
    <n v="1"/>
    <n v="2"/>
    <x v="47"/>
    <n v="18024"/>
    <n v="0"/>
    <n v="14"/>
    <n v="3"/>
    <n v="2"/>
    <n v="80"/>
    <n v="1"/>
    <n v="3"/>
    <n v="3"/>
    <n v="2"/>
    <n v="2"/>
    <n v="2"/>
    <n v="2"/>
  </r>
  <r>
    <x v="1"/>
    <s v="Travel_Rarely"/>
    <x v="0"/>
    <s v="Current Employees"/>
    <x v="0"/>
    <x v="2"/>
    <x v="1242"/>
    <n v="1945"/>
    <x v="1"/>
    <x v="0"/>
    <x v="1"/>
    <s v="No"/>
    <s v="Y"/>
    <n v="2"/>
    <n v="-2"/>
    <n v="0"/>
    <x v="10"/>
    <x v="1"/>
    <x v="1"/>
    <n v="0"/>
    <n v="1"/>
    <n v="682"/>
    <n v="18"/>
    <x v="2"/>
    <x v="0"/>
    <n v="2"/>
    <n v="71"/>
    <n v="3"/>
    <n v="2"/>
    <n v="1"/>
    <x v="489"/>
    <n v="15975"/>
    <n v="0"/>
    <n v="16"/>
    <n v="3"/>
    <n v="4"/>
    <n v="80"/>
    <n v="1"/>
    <n v="6"/>
    <n v="1"/>
    <n v="5"/>
    <n v="3"/>
    <n v="0"/>
    <n v="4"/>
  </r>
  <r>
    <x v="1"/>
    <s v="Travel_Rarely"/>
    <x v="2"/>
    <s v="Current Employees"/>
    <x v="0"/>
    <x v="4"/>
    <x v="1243"/>
    <n v="1568"/>
    <x v="1"/>
    <x v="0"/>
    <x v="1"/>
    <s v="No"/>
    <s v="Y"/>
    <n v="3"/>
    <n v="-2"/>
    <n v="0"/>
    <x v="7"/>
    <x v="1"/>
    <x v="1"/>
    <n v="0"/>
    <n v="1"/>
    <n v="1288"/>
    <n v="29"/>
    <x v="2"/>
    <x v="0"/>
    <n v="4"/>
    <n v="33"/>
    <n v="3"/>
    <n v="3"/>
    <n v="4"/>
    <x v="1153"/>
    <n v="17799"/>
    <n v="3"/>
    <n v="12"/>
    <n v="3"/>
    <n v="2"/>
    <n v="80"/>
    <n v="1"/>
    <n v="9"/>
    <n v="3"/>
    <n v="4"/>
    <n v="2"/>
    <n v="1"/>
    <n v="3"/>
  </r>
  <r>
    <x v="1"/>
    <s v="Travel_Rarely"/>
    <x v="0"/>
    <s v="Current Employees"/>
    <x v="0"/>
    <x v="0"/>
    <x v="1244"/>
    <n v="1582"/>
    <x v="1"/>
    <x v="0"/>
    <x v="1"/>
    <s v="No"/>
    <s v="Y"/>
    <n v="3"/>
    <n v="-2"/>
    <n v="0"/>
    <x v="8"/>
    <x v="1"/>
    <x v="1"/>
    <n v="0"/>
    <n v="1"/>
    <n v="1245"/>
    <n v="14"/>
    <x v="3"/>
    <x v="0"/>
    <n v="3"/>
    <n v="80"/>
    <n v="3"/>
    <n v="2"/>
    <n v="2"/>
    <x v="1154"/>
    <n v="12355"/>
    <n v="0"/>
    <n v="11"/>
    <n v="3"/>
    <n v="4"/>
    <n v="80"/>
    <n v="1"/>
    <n v="10"/>
    <n v="3"/>
    <n v="9"/>
    <n v="8"/>
    <n v="7"/>
    <n v="7"/>
  </r>
  <r>
    <x v="1"/>
    <s v="Travel_Rarely"/>
    <x v="2"/>
    <s v="Current Employees"/>
    <x v="0"/>
    <x v="0"/>
    <x v="1245"/>
    <n v="1739"/>
    <x v="1"/>
    <x v="0"/>
    <x v="1"/>
    <s v="No"/>
    <s v="Y"/>
    <n v="2"/>
    <n v="-2"/>
    <n v="0"/>
    <x v="5"/>
    <x v="1"/>
    <x v="1"/>
    <n v="0"/>
    <n v="1"/>
    <n v="371"/>
    <n v="19"/>
    <x v="3"/>
    <x v="0"/>
    <n v="4"/>
    <n v="80"/>
    <n v="1"/>
    <n v="3"/>
    <n v="3"/>
    <x v="1155"/>
    <n v="3840"/>
    <n v="3"/>
    <n v="13"/>
    <n v="3"/>
    <n v="3"/>
    <n v="80"/>
    <n v="1"/>
    <n v="10"/>
    <n v="1"/>
    <n v="4"/>
    <n v="3"/>
    <n v="0"/>
    <n v="2"/>
  </r>
  <r>
    <x v="1"/>
    <s v="Travel_Rarely"/>
    <x v="0"/>
    <s v="Current Employees"/>
    <x v="0"/>
    <x v="0"/>
    <x v="1246"/>
    <n v="1492"/>
    <x v="1"/>
    <x v="6"/>
    <x v="1"/>
    <s v="No"/>
    <s v="Y"/>
    <n v="3"/>
    <n v="-2"/>
    <n v="0"/>
    <x v="10"/>
    <x v="1"/>
    <x v="1"/>
    <n v="0"/>
    <n v="1"/>
    <n v="660"/>
    <n v="7"/>
    <x v="1"/>
    <x v="0"/>
    <n v="4"/>
    <n v="76"/>
    <n v="3"/>
    <n v="1"/>
    <n v="3"/>
    <x v="639"/>
    <n v="16192"/>
    <n v="1"/>
    <n v="13"/>
    <n v="3"/>
    <n v="1"/>
    <n v="80"/>
    <n v="1"/>
    <n v="1"/>
    <n v="3"/>
    <n v="1"/>
    <n v="0"/>
    <n v="0"/>
    <n v="0"/>
  </r>
  <r>
    <x v="1"/>
    <s v="Travel_Rarely"/>
    <x v="2"/>
    <s v="Current Employees"/>
    <x v="0"/>
    <x v="3"/>
    <x v="1247"/>
    <n v="1446"/>
    <x v="1"/>
    <x v="0"/>
    <x v="1"/>
    <s v="No"/>
    <s v="Y"/>
    <n v="3"/>
    <n v="-2"/>
    <n v="0"/>
    <x v="5"/>
    <x v="1"/>
    <x v="1"/>
    <n v="0"/>
    <n v="1"/>
    <n v="601"/>
    <n v="7"/>
    <x v="4"/>
    <x v="0"/>
    <n v="4"/>
    <n v="97"/>
    <n v="3"/>
    <n v="2"/>
    <n v="2"/>
    <x v="1156"/>
    <n v="23343"/>
    <n v="4"/>
    <n v="12"/>
    <n v="3"/>
    <n v="3"/>
    <n v="80"/>
    <n v="1"/>
    <n v="7"/>
    <n v="2"/>
    <n v="4"/>
    <n v="3"/>
    <n v="0"/>
    <n v="3"/>
  </r>
  <r>
    <x v="1"/>
    <s v="Travel_Rarely"/>
    <x v="0"/>
    <s v="Current Employees"/>
    <x v="0"/>
    <x v="2"/>
    <x v="1248"/>
    <n v="1588"/>
    <x v="1"/>
    <x v="0"/>
    <x v="1"/>
    <s v="No"/>
    <s v="Y"/>
    <n v="3"/>
    <n v="-2"/>
    <n v="0"/>
    <x v="22"/>
    <x v="1"/>
    <x v="1"/>
    <n v="0"/>
    <n v="1"/>
    <n v="1462"/>
    <n v="6"/>
    <x v="3"/>
    <x v="0"/>
    <n v="4"/>
    <n v="38"/>
    <n v="4"/>
    <n v="3"/>
    <n v="3"/>
    <x v="1157"/>
    <n v="4658"/>
    <n v="2"/>
    <n v="11"/>
    <n v="3"/>
    <n v="1"/>
    <n v="80"/>
    <n v="1"/>
    <n v="11"/>
    <n v="3"/>
    <n v="7"/>
    <n v="6"/>
    <n v="7"/>
    <n v="6"/>
  </r>
  <r>
    <x v="1"/>
    <s v="Travel_Rarely"/>
    <x v="0"/>
    <s v="Current Employees"/>
    <x v="0"/>
    <x v="3"/>
    <x v="1249"/>
    <n v="1787"/>
    <x v="1"/>
    <x v="0"/>
    <x v="1"/>
    <s v="No"/>
    <s v="Y"/>
    <n v="2"/>
    <n v="-2"/>
    <n v="0"/>
    <x v="2"/>
    <x v="1"/>
    <x v="1"/>
    <n v="0"/>
    <n v="1"/>
    <n v="589"/>
    <n v="9"/>
    <x v="0"/>
    <x v="0"/>
    <n v="2"/>
    <n v="46"/>
    <n v="2"/>
    <n v="2"/>
    <n v="2"/>
    <x v="1158"/>
    <n v="8800"/>
    <n v="1"/>
    <n v="14"/>
    <n v="3"/>
    <n v="1"/>
    <n v="80"/>
    <n v="2"/>
    <n v="5"/>
    <n v="3"/>
    <n v="5"/>
    <n v="2"/>
    <n v="0"/>
    <n v="3"/>
  </r>
  <r>
    <x v="1"/>
    <s v="Travel_Rarely"/>
    <x v="0"/>
    <s v="Current Employees"/>
    <x v="0"/>
    <x v="3"/>
    <x v="1250"/>
    <n v="1908"/>
    <x v="1"/>
    <x v="0"/>
    <x v="1"/>
    <s v="No"/>
    <s v="Y"/>
    <n v="1"/>
    <n v="-2"/>
    <n v="0"/>
    <x v="9"/>
    <x v="1"/>
    <x v="1"/>
    <n v="0"/>
    <n v="1"/>
    <n v="335"/>
    <n v="17"/>
    <x v="0"/>
    <x v="0"/>
    <n v="3"/>
    <n v="33"/>
    <n v="2"/>
    <n v="2"/>
    <n v="2"/>
    <x v="1159"/>
    <n v="16822"/>
    <n v="2"/>
    <n v="16"/>
    <n v="3"/>
    <n v="3"/>
    <n v="80"/>
    <n v="2"/>
    <n v="12"/>
    <n v="1"/>
    <n v="4"/>
    <n v="2"/>
    <n v="1"/>
    <n v="3"/>
  </r>
  <r>
    <x v="1"/>
    <s v="Travel_Rarely"/>
    <x v="0"/>
    <s v="Current Employees"/>
    <x v="0"/>
    <x v="0"/>
    <x v="1251"/>
    <n v="1995"/>
    <x v="1"/>
    <x v="0"/>
    <x v="1"/>
    <s v="No"/>
    <s v="Y"/>
    <n v="3"/>
    <n v="-2"/>
    <n v="0"/>
    <x v="8"/>
    <x v="1"/>
    <x v="1"/>
    <n v="0"/>
    <n v="1"/>
    <n v="1321"/>
    <n v="1"/>
    <x v="2"/>
    <x v="0"/>
    <n v="4"/>
    <n v="86"/>
    <n v="3"/>
    <n v="2"/>
    <n v="2"/>
    <x v="1160"/>
    <n v="7636"/>
    <n v="0"/>
    <n v="15"/>
    <n v="3"/>
    <n v="1"/>
    <n v="80"/>
    <n v="2"/>
    <n v="16"/>
    <n v="3"/>
    <n v="15"/>
    <n v="13"/>
    <n v="5"/>
    <n v="8"/>
  </r>
  <r>
    <x v="1"/>
    <s v="Travel_Rarely"/>
    <x v="2"/>
    <s v="Current Employees"/>
    <x v="0"/>
    <x v="0"/>
    <x v="1252"/>
    <n v="1479"/>
    <x v="1"/>
    <x v="0"/>
    <x v="1"/>
    <s v="No"/>
    <s v="Y"/>
    <n v="2"/>
    <n v="-2"/>
    <n v="0"/>
    <x v="7"/>
    <x v="1"/>
    <x v="1"/>
    <n v="0"/>
    <n v="1"/>
    <n v="1358"/>
    <n v="16"/>
    <x v="1"/>
    <x v="0"/>
    <n v="4"/>
    <n v="96"/>
    <n v="3"/>
    <n v="2"/>
    <n v="3"/>
    <x v="1161"/>
    <n v="2939"/>
    <n v="8"/>
    <n v="15"/>
    <n v="3"/>
    <n v="3"/>
    <n v="80"/>
    <n v="2"/>
    <n v="4"/>
    <n v="2"/>
    <n v="2"/>
    <n v="1"/>
    <n v="2"/>
    <n v="2"/>
  </r>
  <r>
    <x v="1"/>
    <s v="Travel_Rarely"/>
    <x v="0"/>
    <s v="Current Employees"/>
    <x v="0"/>
    <x v="0"/>
    <x v="1253"/>
    <n v="1961"/>
    <x v="1"/>
    <x v="6"/>
    <x v="0"/>
    <s v="No"/>
    <s v="Y"/>
    <n v="3"/>
    <n v="-2"/>
    <n v="0"/>
    <x v="8"/>
    <x v="1"/>
    <x v="1"/>
    <n v="0"/>
    <n v="1"/>
    <n v="1404"/>
    <n v="1"/>
    <x v="3"/>
    <x v="0"/>
    <n v="1"/>
    <n v="59"/>
    <n v="2"/>
    <n v="1"/>
    <n v="1"/>
    <x v="1162"/>
    <n v="11473"/>
    <n v="4"/>
    <n v="14"/>
    <n v="3"/>
    <n v="1"/>
    <n v="80"/>
    <n v="0"/>
    <n v="20"/>
    <n v="2"/>
    <n v="1"/>
    <n v="0"/>
    <n v="0"/>
    <n v="0"/>
  </r>
  <r>
    <x v="1"/>
    <s v="Travel_Rarely"/>
    <x v="0"/>
    <s v="Current Employees"/>
    <x v="0"/>
    <x v="3"/>
    <x v="1254"/>
    <n v="1975"/>
    <x v="1"/>
    <x v="0"/>
    <x v="0"/>
    <s v="No"/>
    <s v="Y"/>
    <n v="3"/>
    <n v="-2"/>
    <n v="0"/>
    <x v="22"/>
    <x v="1"/>
    <x v="1"/>
    <n v="0"/>
    <n v="1"/>
    <n v="119"/>
    <n v="15"/>
    <x v="2"/>
    <x v="0"/>
    <n v="2"/>
    <n v="77"/>
    <n v="3"/>
    <n v="4"/>
    <n v="1"/>
    <x v="1163"/>
    <n v="25098"/>
    <n v="0"/>
    <n v="12"/>
    <n v="3"/>
    <n v="1"/>
    <n v="80"/>
    <n v="0"/>
    <n v="21"/>
    <n v="3"/>
    <n v="20"/>
    <n v="8"/>
    <n v="11"/>
    <n v="10"/>
  </r>
  <r>
    <x v="1"/>
    <s v="Travel_Rarely"/>
    <x v="0"/>
    <s v="Current Employees"/>
    <x v="0"/>
    <x v="2"/>
    <x v="1255"/>
    <n v="1740"/>
    <x v="1"/>
    <x v="5"/>
    <x v="0"/>
    <s v="No"/>
    <s v="Y"/>
    <n v="3"/>
    <n v="-2"/>
    <n v="0"/>
    <x v="32"/>
    <x v="1"/>
    <x v="1"/>
    <n v="0"/>
    <n v="1"/>
    <n v="611"/>
    <n v="7"/>
    <x v="2"/>
    <x v="0"/>
    <n v="2"/>
    <n v="88"/>
    <n v="3"/>
    <n v="5"/>
    <n v="2"/>
    <x v="1164"/>
    <n v="4349"/>
    <n v="1"/>
    <n v="14"/>
    <n v="3"/>
    <n v="2"/>
    <n v="80"/>
    <n v="0"/>
    <n v="21"/>
    <n v="2"/>
    <n v="21"/>
    <n v="8"/>
    <n v="12"/>
    <n v="8"/>
  </r>
  <r>
    <x v="1"/>
    <s v="Travel_Rarely"/>
    <x v="2"/>
    <s v="Current Employees"/>
    <x v="0"/>
    <x v="3"/>
    <x v="1256"/>
    <n v="1924"/>
    <x v="1"/>
    <x v="0"/>
    <x v="0"/>
    <s v="No"/>
    <s v="Y"/>
    <n v="2"/>
    <n v="-2"/>
    <n v="0"/>
    <x v="3"/>
    <x v="1"/>
    <x v="1"/>
    <n v="0"/>
    <n v="1"/>
    <n v="217"/>
    <n v="10"/>
    <x v="2"/>
    <x v="0"/>
    <n v="2"/>
    <n v="43"/>
    <n v="3"/>
    <n v="2"/>
    <n v="1"/>
    <x v="1165"/>
    <n v="10410"/>
    <n v="1"/>
    <n v="14"/>
    <n v="3"/>
    <n v="2"/>
    <n v="80"/>
    <n v="0"/>
    <n v="10"/>
    <n v="2"/>
    <n v="10"/>
    <n v="4"/>
    <n v="0"/>
    <n v="9"/>
  </r>
  <r>
    <x v="1"/>
    <s v="Travel_Rarely"/>
    <x v="2"/>
    <s v="Current Employees"/>
    <x v="0"/>
    <x v="2"/>
    <x v="1257"/>
    <n v="1650"/>
    <x v="1"/>
    <x v="0"/>
    <x v="0"/>
    <s v="No"/>
    <s v="Y"/>
    <n v="2"/>
    <n v="-2"/>
    <n v="0"/>
    <x v="11"/>
    <x v="1"/>
    <x v="1"/>
    <n v="0"/>
    <n v="1"/>
    <n v="469"/>
    <n v="10"/>
    <x v="3"/>
    <x v="0"/>
    <n v="3"/>
    <n v="42"/>
    <n v="2"/>
    <n v="2"/>
    <n v="3"/>
    <x v="1166"/>
    <n v="23413"/>
    <n v="9"/>
    <n v="11"/>
    <n v="3"/>
    <n v="3"/>
    <n v="80"/>
    <n v="0"/>
    <n v="8"/>
    <n v="3"/>
    <n v="5"/>
    <n v="2"/>
    <n v="1"/>
    <n v="4"/>
  </r>
  <r>
    <x v="1"/>
    <s v="Travel_Rarely"/>
    <x v="2"/>
    <s v="Current Employees"/>
    <x v="0"/>
    <x v="2"/>
    <x v="1258"/>
    <n v="1836"/>
    <x v="1"/>
    <x v="0"/>
    <x v="0"/>
    <s v="No"/>
    <s v="Y"/>
    <n v="4"/>
    <n v="-2"/>
    <n v="0"/>
    <x v="25"/>
    <x v="1"/>
    <x v="1"/>
    <n v="0"/>
    <n v="1"/>
    <n v="572"/>
    <n v="10"/>
    <x v="3"/>
    <x v="0"/>
    <n v="3"/>
    <n v="46"/>
    <n v="3"/>
    <n v="2"/>
    <n v="4"/>
    <x v="1167"/>
    <n v="9125"/>
    <n v="1"/>
    <n v="13"/>
    <n v="3"/>
    <n v="1"/>
    <n v="80"/>
    <n v="0"/>
    <n v="5"/>
    <n v="3"/>
    <n v="5"/>
    <n v="3"/>
    <n v="1"/>
    <n v="2"/>
  </r>
  <r>
    <x v="1"/>
    <s v="Travel_Rarely"/>
    <x v="2"/>
    <s v="Current Employees"/>
    <x v="0"/>
    <x v="1"/>
    <x v="1259"/>
    <n v="1478"/>
    <x v="1"/>
    <x v="0"/>
    <x v="0"/>
    <s v="No"/>
    <s v="Y"/>
    <n v="2"/>
    <n v="-2"/>
    <n v="0"/>
    <x v="13"/>
    <x v="1"/>
    <x v="1"/>
    <n v="0"/>
    <n v="1"/>
    <n v="1326"/>
    <n v="3"/>
    <x v="3"/>
    <x v="0"/>
    <n v="4"/>
    <n v="81"/>
    <n v="1"/>
    <n v="2"/>
    <n v="1"/>
    <x v="1168"/>
    <n v="15891"/>
    <n v="3"/>
    <n v="18"/>
    <n v="3"/>
    <n v="4"/>
    <n v="80"/>
    <n v="0"/>
    <n v="15"/>
    <n v="3"/>
    <n v="13"/>
    <n v="9"/>
    <n v="3"/>
    <n v="12"/>
  </r>
  <r>
    <x v="1"/>
    <s v="Travel_Rarely"/>
    <x v="4"/>
    <s v="Current Employees"/>
    <x v="0"/>
    <x v="0"/>
    <x v="1260"/>
    <n v="1680"/>
    <x v="1"/>
    <x v="6"/>
    <x v="0"/>
    <s v="No"/>
    <s v="Y"/>
    <n v="3"/>
    <n v="-2"/>
    <n v="0"/>
    <x v="35"/>
    <x v="1"/>
    <x v="1"/>
    <n v="0"/>
    <n v="1"/>
    <n v="727"/>
    <n v="9"/>
    <x v="1"/>
    <x v="0"/>
    <n v="4"/>
    <n v="54"/>
    <n v="3"/>
    <n v="1"/>
    <n v="1"/>
    <x v="1169"/>
    <n v="21082"/>
    <n v="1"/>
    <n v="11"/>
    <n v="3"/>
    <n v="1"/>
    <n v="80"/>
    <n v="0"/>
    <n v="2"/>
    <n v="3"/>
    <n v="2"/>
    <n v="2"/>
    <n v="0"/>
    <n v="2"/>
  </r>
  <r>
    <x v="1"/>
    <s v="Travel_Rarely"/>
    <x v="2"/>
    <s v="Current Employees"/>
    <x v="0"/>
    <x v="2"/>
    <x v="1261"/>
    <n v="1469"/>
    <x v="1"/>
    <x v="0"/>
    <x v="0"/>
    <s v="No"/>
    <s v="Y"/>
    <n v="4"/>
    <n v="-2"/>
    <n v="0"/>
    <x v="14"/>
    <x v="1"/>
    <x v="1"/>
    <n v="0"/>
    <n v="1"/>
    <n v="866"/>
    <n v="5"/>
    <x v="3"/>
    <x v="0"/>
    <n v="4"/>
    <n v="84"/>
    <n v="3"/>
    <n v="2"/>
    <n v="1"/>
    <x v="1170"/>
    <n v="23490"/>
    <n v="0"/>
    <n v="18"/>
    <n v="3"/>
    <n v="4"/>
    <n v="80"/>
    <n v="0"/>
    <n v="6"/>
    <n v="3"/>
    <n v="5"/>
    <n v="4"/>
    <n v="1"/>
    <n v="3"/>
  </r>
  <r>
    <x v="1"/>
    <s v="Travel_Rarely"/>
    <x v="0"/>
    <s v="Current Employees"/>
    <x v="0"/>
    <x v="3"/>
    <x v="1262"/>
    <n v="1708"/>
    <x v="1"/>
    <x v="0"/>
    <x v="0"/>
    <s v="No"/>
    <s v="Y"/>
    <n v="3"/>
    <n v="-2"/>
    <n v="0"/>
    <x v="0"/>
    <x v="1"/>
    <x v="1"/>
    <n v="0"/>
    <n v="1"/>
    <n v="918"/>
    <n v="6"/>
    <x v="3"/>
    <x v="0"/>
    <n v="4"/>
    <n v="35"/>
    <n v="3"/>
    <n v="3"/>
    <n v="1"/>
    <x v="1171"/>
    <n v="15869"/>
    <n v="1"/>
    <n v="12"/>
    <n v="3"/>
    <n v="2"/>
    <n v="80"/>
    <n v="0"/>
    <n v="10"/>
    <n v="3"/>
    <n v="10"/>
    <n v="8"/>
    <n v="8"/>
    <n v="7"/>
  </r>
  <r>
    <x v="1"/>
    <s v="Travel_Rarely"/>
    <x v="2"/>
    <s v="Current Employees"/>
    <x v="0"/>
    <x v="3"/>
    <x v="1263"/>
    <n v="1965"/>
    <x v="1"/>
    <x v="0"/>
    <x v="0"/>
    <s v="No"/>
    <s v="Y"/>
    <n v="5"/>
    <n v="-2"/>
    <n v="0"/>
    <x v="4"/>
    <x v="1"/>
    <x v="1"/>
    <n v="0"/>
    <n v="1"/>
    <n v="954"/>
    <n v="9"/>
    <x v="3"/>
    <x v="0"/>
    <n v="4"/>
    <n v="44"/>
    <n v="3"/>
    <n v="2"/>
    <n v="1"/>
    <x v="1172"/>
    <n v="5099"/>
    <n v="1"/>
    <n v="14"/>
    <n v="3"/>
    <n v="1"/>
    <n v="80"/>
    <n v="0"/>
    <n v="7"/>
    <n v="3"/>
    <n v="7"/>
    <n v="7"/>
    <n v="0"/>
    <n v="7"/>
  </r>
  <r>
    <x v="1"/>
    <s v="Travel_Rarely"/>
    <x v="1"/>
    <s v="Current Employees"/>
    <x v="0"/>
    <x v="0"/>
    <x v="1264"/>
    <n v="1602"/>
    <x v="1"/>
    <x v="5"/>
    <x v="0"/>
    <s v="No"/>
    <s v="Y"/>
    <n v="5"/>
    <n v="-2"/>
    <n v="0"/>
    <x v="21"/>
    <x v="1"/>
    <x v="1"/>
    <n v="0"/>
    <n v="1"/>
    <n v="563"/>
    <n v="1"/>
    <x v="2"/>
    <x v="0"/>
    <n v="4"/>
    <n v="56"/>
    <n v="4"/>
    <n v="4"/>
    <n v="1"/>
    <x v="1173"/>
    <n v="3156"/>
    <n v="1"/>
    <n v="15"/>
    <n v="3"/>
    <n v="2"/>
    <n v="80"/>
    <n v="0"/>
    <n v="27"/>
    <n v="1"/>
    <n v="26"/>
    <n v="0"/>
    <n v="0"/>
    <n v="12"/>
  </r>
  <r>
    <x v="1"/>
    <s v="Non-Travel"/>
    <x v="4"/>
    <s v="Current Employees"/>
    <x v="1"/>
    <x v="1"/>
    <x v="1265"/>
    <n v="1605"/>
    <x v="0"/>
    <x v="1"/>
    <x v="1"/>
    <s v="Yes"/>
    <s v="Y"/>
    <n v="2"/>
    <n v="-2"/>
    <n v="0"/>
    <x v="15"/>
    <x v="1"/>
    <x v="1"/>
    <n v="0"/>
    <n v="1"/>
    <n v="457"/>
    <n v="26"/>
    <x v="0"/>
    <x v="0"/>
    <n v="2"/>
    <n v="85"/>
    <n v="2"/>
    <n v="1"/>
    <n v="3"/>
    <x v="1174"/>
    <n v="10293"/>
    <n v="1"/>
    <n v="14"/>
    <n v="3"/>
    <n v="2"/>
    <n v="80"/>
    <n v="0"/>
    <n v="4"/>
    <n v="2"/>
    <n v="4"/>
    <n v="2"/>
    <n v="1"/>
    <n v="3"/>
  </r>
  <r>
    <x v="1"/>
    <s v="Travel_Frequently"/>
    <x v="0"/>
    <s v="Current Employees"/>
    <x v="1"/>
    <x v="2"/>
    <x v="1266"/>
    <n v="1937"/>
    <x v="0"/>
    <x v="1"/>
    <x v="2"/>
    <s v="Yes"/>
    <s v="Y"/>
    <n v="3"/>
    <n v="-2"/>
    <n v="0"/>
    <x v="8"/>
    <x v="1"/>
    <x v="1"/>
    <n v="0"/>
    <n v="1"/>
    <n v="1394"/>
    <n v="8"/>
    <x v="3"/>
    <x v="0"/>
    <n v="4"/>
    <n v="58"/>
    <n v="2"/>
    <n v="2"/>
    <n v="2"/>
    <x v="1175"/>
    <n v="18115"/>
    <n v="1"/>
    <n v="16"/>
    <n v="3"/>
    <n v="3"/>
    <n v="80"/>
    <n v="1"/>
    <n v="20"/>
    <n v="3"/>
    <n v="20"/>
    <n v="11"/>
    <n v="0"/>
    <n v="7"/>
  </r>
  <r>
    <x v="1"/>
    <s v="Travel_Frequently"/>
    <x v="4"/>
    <s v="Current Employees"/>
    <x v="1"/>
    <x v="4"/>
    <x v="1267"/>
    <n v="1646"/>
    <x v="0"/>
    <x v="1"/>
    <x v="0"/>
    <s v="Yes"/>
    <s v="Y"/>
    <n v="2"/>
    <n v="-2"/>
    <n v="0"/>
    <x v="17"/>
    <x v="1"/>
    <x v="1"/>
    <n v="0"/>
    <n v="1"/>
    <n v="567"/>
    <n v="2"/>
    <x v="1"/>
    <x v="0"/>
    <n v="4"/>
    <n v="32"/>
    <n v="3"/>
    <n v="1"/>
    <n v="4"/>
    <x v="841"/>
    <n v="17218"/>
    <n v="1"/>
    <n v="13"/>
    <n v="3"/>
    <n v="3"/>
    <n v="80"/>
    <n v="0"/>
    <n v="6"/>
    <n v="3"/>
    <n v="6"/>
    <n v="3"/>
    <n v="1"/>
    <n v="3"/>
  </r>
  <r>
    <x v="1"/>
    <s v="Travel_Frequently"/>
    <x v="2"/>
    <s v="Current Employees"/>
    <x v="1"/>
    <x v="0"/>
    <x v="1268"/>
    <n v="1850"/>
    <x v="0"/>
    <x v="2"/>
    <x v="0"/>
    <s v="Yes"/>
    <s v="Y"/>
    <n v="3"/>
    <n v="-2"/>
    <n v="0"/>
    <x v="4"/>
    <x v="1"/>
    <x v="1"/>
    <n v="0"/>
    <n v="1"/>
    <n v="1297"/>
    <n v="5"/>
    <x v="0"/>
    <x v="0"/>
    <n v="4"/>
    <n v="53"/>
    <n v="3"/>
    <n v="1"/>
    <n v="4"/>
    <x v="1176"/>
    <n v="19826"/>
    <n v="0"/>
    <n v="14"/>
    <n v="3"/>
    <n v="3"/>
    <n v="80"/>
    <n v="0"/>
    <n v="6"/>
    <n v="2"/>
    <n v="5"/>
    <n v="4"/>
    <n v="0"/>
    <n v="2"/>
  </r>
  <r>
    <x v="1"/>
    <s v="Travel_Rarely"/>
    <x v="0"/>
    <s v="Current Employees"/>
    <x v="2"/>
    <x v="0"/>
    <x v="1269"/>
    <n v="1683"/>
    <x v="0"/>
    <x v="8"/>
    <x v="2"/>
    <s v="Yes"/>
    <s v="Y"/>
    <n v="2"/>
    <n v="-2"/>
    <n v="0"/>
    <x v="20"/>
    <x v="1"/>
    <x v="1"/>
    <n v="0"/>
    <n v="1"/>
    <n v="528"/>
    <n v="1"/>
    <x v="3"/>
    <x v="0"/>
    <n v="3"/>
    <n v="44"/>
    <n v="3"/>
    <n v="1"/>
    <n v="4"/>
    <x v="1177"/>
    <n v="4167"/>
    <n v="4"/>
    <n v="18"/>
    <n v="3"/>
    <n v="1"/>
    <n v="80"/>
    <n v="3"/>
    <n v="8"/>
    <n v="3"/>
    <n v="2"/>
    <n v="2"/>
    <n v="2"/>
    <n v="2"/>
  </r>
  <r>
    <x v="1"/>
    <s v="Travel_Rarely"/>
    <x v="0"/>
    <s v="Current Employees"/>
    <x v="2"/>
    <x v="0"/>
    <x v="1270"/>
    <n v="2040"/>
    <x v="0"/>
    <x v="8"/>
    <x v="0"/>
    <s v="Yes"/>
    <s v="Y"/>
    <n v="2"/>
    <n v="-2"/>
    <n v="0"/>
    <x v="10"/>
    <x v="1"/>
    <x v="1"/>
    <n v="0"/>
    <n v="1"/>
    <n v="1146"/>
    <n v="26"/>
    <x v="2"/>
    <x v="0"/>
    <n v="3"/>
    <n v="31"/>
    <n v="3"/>
    <n v="3"/>
    <n v="4"/>
    <x v="1178"/>
    <n v="16642"/>
    <n v="1"/>
    <n v="16"/>
    <n v="3"/>
    <n v="3"/>
    <n v="80"/>
    <n v="0"/>
    <n v="9"/>
    <n v="3"/>
    <n v="9"/>
    <n v="0"/>
    <n v="1"/>
    <n v="7"/>
  </r>
  <r>
    <x v="1"/>
    <s v="Travel_Rarely"/>
    <x v="0"/>
    <s v="Current Employees"/>
    <x v="1"/>
    <x v="2"/>
    <x v="1271"/>
    <n v="1608"/>
    <x v="0"/>
    <x v="7"/>
    <x v="2"/>
    <s v="Yes"/>
    <s v="Y"/>
    <n v="4"/>
    <n v="-2"/>
    <n v="0"/>
    <x v="20"/>
    <x v="1"/>
    <x v="1"/>
    <n v="0"/>
    <n v="1"/>
    <n v="1313"/>
    <n v="7"/>
    <x v="3"/>
    <x v="0"/>
    <n v="2"/>
    <n v="31"/>
    <n v="3"/>
    <n v="5"/>
    <n v="4"/>
    <x v="1179"/>
    <n v="3549"/>
    <n v="0"/>
    <n v="14"/>
    <n v="3"/>
    <n v="4"/>
    <n v="80"/>
    <n v="1"/>
    <n v="23"/>
    <n v="2"/>
    <n v="22"/>
    <n v="7"/>
    <n v="1"/>
    <n v="10"/>
  </r>
  <r>
    <x v="1"/>
    <s v="Travel_Rarely"/>
    <x v="1"/>
    <s v="Current Employees"/>
    <x v="1"/>
    <x v="0"/>
    <x v="1272"/>
    <n v="1827"/>
    <x v="0"/>
    <x v="3"/>
    <x v="2"/>
    <s v="Yes"/>
    <s v="Y"/>
    <n v="4"/>
    <n v="-2"/>
    <n v="0"/>
    <x v="40"/>
    <x v="1"/>
    <x v="1"/>
    <n v="0"/>
    <n v="1"/>
    <n v="1001"/>
    <n v="4"/>
    <x v="3"/>
    <x v="0"/>
    <n v="3"/>
    <n v="92"/>
    <n v="2"/>
    <n v="3"/>
    <n v="2"/>
    <x v="1180"/>
    <n v="19271"/>
    <n v="8"/>
    <n v="12"/>
    <n v="3"/>
    <n v="3"/>
    <n v="80"/>
    <n v="1"/>
    <n v="28"/>
    <n v="3"/>
    <n v="22"/>
    <n v="11"/>
    <n v="14"/>
    <n v="10"/>
  </r>
  <r>
    <x v="1"/>
    <s v="Travel_Rarely"/>
    <x v="1"/>
    <s v="Current Employees"/>
    <x v="1"/>
    <x v="2"/>
    <x v="1273"/>
    <n v="1674"/>
    <x v="0"/>
    <x v="2"/>
    <x v="2"/>
    <s v="Yes"/>
    <s v="Y"/>
    <n v="2"/>
    <n v="-2"/>
    <n v="0"/>
    <x v="1"/>
    <x v="1"/>
    <x v="1"/>
    <n v="0"/>
    <n v="1"/>
    <n v="464"/>
    <n v="16"/>
    <x v="3"/>
    <x v="0"/>
    <n v="4"/>
    <n v="74"/>
    <n v="3"/>
    <n v="1"/>
    <n v="1"/>
    <x v="1181"/>
    <n v="24941"/>
    <n v="4"/>
    <n v="16"/>
    <n v="3"/>
    <n v="2"/>
    <n v="80"/>
    <n v="1"/>
    <n v="17"/>
    <n v="2"/>
    <n v="2"/>
    <n v="2"/>
    <n v="2"/>
    <n v="2"/>
  </r>
  <r>
    <x v="1"/>
    <s v="Travel_Rarely"/>
    <x v="2"/>
    <s v="Current Employees"/>
    <x v="1"/>
    <x v="2"/>
    <x v="1274"/>
    <n v="1974"/>
    <x v="0"/>
    <x v="2"/>
    <x v="2"/>
    <s v="Yes"/>
    <s v="Y"/>
    <n v="4"/>
    <n v="-2"/>
    <n v="0"/>
    <x v="12"/>
    <x v="1"/>
    <x v="1"/>
    <n v="0"/>
    <n v="1"/>
    <n v="1276"/>
    <n v="2"/>
    <x v="1"/>
    <x v="0"/>
    <n v="4"/>
    <n v="59"/>
    <n v="1"/>
    <n v="1"/>
    <n v="4"/>
    <x v="1182"/>
    <n v="17536"/>
    <n v="1"/>
    <n v="11"/>
    <n v="3"/>
    <n v="3"/>
    <n v="80"/>
    <n v="3"/>
    <n v="1"/>
    <n v="3"/>
    <n v="1"/>
    <n v="0"/>
    <n v="0"/>
    <n v="0"/>
  </r>
  <r>
    <x v="1"/>
    <s v="Travel_Rarely"/>
    <x v="0"/>
    <s v="Current Employees"/>
    <x v="1"/>
    <x v="1"/>
    <x v="1275"/>
    <n v="1886"/>
    <x v="0"/>
    <x v="3"/>
    <x v="1"/>
    <s v="Yes"/>
    <s v="Y"/>
    <n v="2"/>
    <n v="-2"/>
    <n v="0"/>
    <x v="10"/>
    <x v="1"/>
    <x v="1"/>
    <n v="0"/>
    <n v="1"/>
    <n v="219"/>
    <n v="16"/>
    <x v="0"/>
    <x v="0"/>
    <n v="4"/>
    <n v="44"/>
    <n v="2"/>
    <n v="2"/>
    <n v="2"/>
    <x v="1183"/>
    <n v="25388"/>
    <n v="0"/>
    <n v="11"/>
    <n v="3"/>
    <n v="4"/>
    <n v="80"/>
    <n v="0"/>
    <n v="4"/>
    <n v="3"/>
    <n v="3"/>
    <n v="2"/>
    <n v="0"/>
    <n v="2"/>
  </r>
  <r>
    <x v="1"/>
    <s v="Travel_Rarely"/>
    <x v="2"/>
    <s v="Current Employees"/>
    <x v="1"/>
    <x v="0"/>
    <x v="1276"/>
    <n v="1893"/>
    <x v="0"/>
    <x v="1"/>
    <x v="1"/>
    <s v="Yes"/>
    <s v="Y"/>
    <n v="3"/>
    <n v="-2"/>
    <n v="0"/>
    <x v="25"/>
    <x v="1"/>
    <x v="1"/>
    <n v="0"/>
    <n v="1"/>
    <n v="482"/>
    <n v="1"/>
    <x v="0"/>
    <x v="0"/>
    <n v="2"/>
    <n v="90"/>
    <n v="2"/>
    <n v="1"/>
    <n v="3"/>
    <x v="1184"/>
    <n v="14908"/>
    <n v="1"/>
    <n v="13"/>
    <n v="3"/>
    <n v="3"/>
    <n v="80"/>
    <n v="1"/>
    <n v="1"/>
    <n v="2"/>
    <n v="1"/>
    <n v="0"/>
    <n v="1"/>
    <n v="0"/>
  </r>
  <r>
    <x v="1"/>
    <s v="Travel_Rarely"/>
    <x v="0"/>
    <s v="Current Employees"/>
    <x v="1"/>
    <x v="0"/>
    <x v="1277"/>
    <n v="1724"/>
    <x v="0"/>
    <x v="3"/>
    <x v="1"/>
    <s v="Yes"/>
    <s v="Y"/>
    <n v="3"/>
    <n v="-2"/>
    <n v="0"/>
    <x v="32"/>
    <x v="1"/>
    <x v="1"/>
    <n v="0"/>
    <n v="1"/>
    <n v="369"/>
    <n v="8"/>
    <x v="0"/>
    <x v="0"/>
    <n v="2"/>
    <n v="92"/>
    <n v="3"/>
    <n v="2"/>
    <n v="1"/>
    <x v="1185"/>
    <n v="5041"/>
    <n v="2"/>
    <n v="16"/>
    <n v="3"/>
    <n v="2"/>
    <n v="80"/>
    <n v="1"/>
    <n v="18"/>
    <n v="3"/>
    <n v="1"/>
    <n v="0"/>
    <n v="0"/>
    <n v="0"/>
  </r>
  <r>
    <x v="1"/>
    <s v="Travel_Rarely"/>
    <x v="2"/>
    <s v="Current Employees"/>
    <x v="1"/>
    <x v="2"/>
    <x v="1278"/>
    <n v="2009"/>
    <x v="0"/>
    <x v="4"/>
    <x v="1"/>
    <s v="Yes"/>
    <s v="Y"/>
    <n v="6"/>
    <n v="-2"/>
    <n v="0"/>
    <x v="3"/>
    <x v="1"/>
    <x v="1"/>
    <n v="0"/>
    <n v="1"/>
    <n v="501"/>
    <n v="15"/>
    <x v="0"/>
    <x v="0"/>
    <n v="2"/>
    <n v="95"/>
    <n v="3"/>
    <n v="2"/>
    <n v="4"/>
    <x v="1186"/>
    <n v="21653"/>
    <n v="0"/>
    <n v="13"/>
    <n v="3"/>
    <n v="1"/>
    <n v="80"/>
    <n v="1"/>
    <n v="10"/>
    <n v="3"/>
    <n v="9"/>
    <n v="7"/>
    <n v="8"/>
    <n v="1"/>
  </r>
  <r>
    <x v="1"/>
    <s v="Travel_Rarely"/>
    <x v="1"/>
    <s v="Current Employees"/>
    <x v="1"/>
    <x v="0"/>
    <x v="1279"/>
    <n v="1661"/>
    <x v="0"/>
    <x v="4"/>
    <x v="1"/>
    <s v="Yes"/>
    <s v="Y"/>
    <n v="3"/>
    <n v="-2"/>
    <n v="0"/>
    <x v="1"/>
    <x v="1"/>
    <x v="1"/>
    <n v="0"/>
    <n v="1"/>
    <n v="465"/>
    <n v="6"/>
    <x v="1"/>
    <x v="0"/>
    <n v="3"/>
    <n v="41"/>
    <n v="2"/>
    <n v="4"/>
    <n v="3"/>
    <x v="1187"/>
    <n v="11652"/>
    <n v="2"/>
    <n v="19"/>
    <n v="3"/>
    <n v="2"/>
    <n v="80"/>
    <n v="1"/>
    <n v="30"/>
    <n v="3"/>
    <n v="15"/>
    <n v="11"/>
    <n v="2"/>
    <n v="12"/>
  </r>
  <r>
    <x v="1"/>
    <s v="Travel_Rarely"/>
    <x v="0"/>
    <s v="Current Employees"/>
    <x v="1"/>
    <x v="0"/>
    <x v="1280"/>
    <n v="1703"/>
    <x v="0"/>
    <x v="4"/>
    <x v="1"/>
    <s v="Yes"/>
    <s v="Y"/>
    <n v="2"/>
    <n v="-2"/>
    <n v="0"/>
    <x v="20"/>
    <x v="1"/>
    <x v="1"/>
    <n v="0"/>
    <n v="1"/>
    <n v="921"/>
    <n v="2"/>
    <x v="3"/>
    <x v="0"/>
    <n v="3"/>
    <n v="96"/>
    <n v="4"/>
    <n v="3"/>
    <n v="4"/>
    <x v="1188"/>
    <n v="14810"/>
    <n v="1"/>
    <n v="19"/>
    <n v="3"/>
    <n v="2"/>
    <n v="80"/>
    <n v="1"/>
    <n v="9"/>
    <n v="3"/>
    <n v="8"/>
    <n v="7"/>
    <n v="6"/>
    <n v="7"/>
  </r>
  <r>
    <x v="1"/>
    <s v="Travel_Rarely"/>
    <x v="0"/>
    <s v="Current Employees"/>
    <x v="1"/>
    <x v="2"/>
    <x v="1281"/>
    <n v="1638"/>
    <x v="0"/>
    <x v="3"/>
    <x v="1"/>
    <s v="Yes"/>
    <s v="Y"/>
    <n v="6"/>
    <n v="-2"/>
    <n v="0"/>
    <x v="8"/>
    <x v="1"/>
    <x v="1"/>
    <n v="0"/>
    <n v="1"/>
    <n v="397"/>
    <n v="2"/>
    <x v="0"/>
    <x v="0"/>
    <n v="4"/>
    <n v="54"/>
    <n v="2"/>
    <n v="3"/>
    <n v="3"/>
    <x v="751"/>
    <n v="14199"/>
    <n v="3"/>
    <n v="19"/>
    <n v="3"/>
    <n v="4"/>
    <n v="80"/>
    <n v="1"/>
    <n v="10"/>
    <n v="4"/>
    <n v="5"/>
    <n v="4"/>
    <n v="0"/>
    <n v="2"/>
  </r>
  <r>
    <x v="1"/>
    <s v="Travel_Rarely"/>
    <x v="0"/>
    <s v="Current Employees"/>
    <x v="1"/>
    <x v="0"/>
    <x v="1282"/>
    <n v="1614"/>
    <x v="0"/>
    <x v="3"/>
    <x v="1"/>
    <s v="Yes"/>
    <s v="Y"/>
    <n v="2"/>
    <n v="-2"/>
    <n v="0"/>
    <x v="9"/>
    <x v="1"/>
    <x v="1"/>
    <n v="0"/>
    <n v="1"/>
    <n v="559"/>
    <n v="12"/>
    <x v="2"/>
    <x v="0"/>
    <n v="3"/>
    <n v="76"/>
    <n v="3"/>
    <n v="2"/>
    <n v="3"/>
    <x v="1189"/>
    <n v="12421"/>
    <n v="9"/>
    <n v="12"/>
    <n v="3"/>
    <n v="2"/>
    <n v="80"/>
    <n v="2"/>
    <n v="7"/>
    <n v="3"/>
    <n v="3"/>
    <n v="2"/>
    <n v="1"/>
    <n v="1"/>
  </r>
  <r>
    <x v="1"/>
    <s v="Travel_Rarely"/>
    <x v="0"/>
    <s v="Current Employees"/>
    <x v="1"/>
    <x v="2"/>
    <x v="1283"/>
    <n v="1587"/>
    <x v="0"/>
    <x v="4"/>
    <x v="0"/>
    <s v="Yes"/>
    <s v="Y"/>
    <n v="4"/>
    <n v="-2"/>
    <n v="0"/>
    <x v="10"/>
    <x v="1"/>
    <x v="1"/>
    <n v="0"/>
    <n v="1"/>
    <n v="670"/>
    <n v="10"/>
    <x v="2"/>
    <x v="0"/>
    <n v="1"/>
    <n v="51"/>
    <n v="3"/>
    <n v="2"/>
    <n v="3"/>
    <x v="528"/>
    <n v="4223"/>
    <n v="3"/>
    <n v="16"/>
    <n v="3"/>
    <n v="3"/>
    <n v="80"/>
    <n v="0"/>
    <n v="10"/>
    <n v="3"/>
    <n v="5"/>
    <n v="2"/>
    <n v="0"/>
    <n v="4"/>
  </r>
  <r>
    <x v="1"/>
    <s v="Travel_Rarely"/>
    <x v="1"/>
    <s v="Current Employees"/>
    <x v="1"/>
    <x v="2"/>
    <x v="1284"/>
    <n v="1611"/>
    <x v="0"/>
    <x v="2"/>
    <x v="0"/>
    <s v="Yes"/>
    <s v="Y"/>
    <n v="3"/>
    <n v="-2"/>
    <n v="0"/>
    <x v="28"/>
    <x v="1"/>
    <x v="1"/>
    <n v="0"/>
    <n v="1"/>
    <n v="1015"/>
    <n v="5"/>
    <x v="4"/>
    <x v="0"/>
    <n v="3"/>
    <n v="50"/>
    <n v="1"/>
    <n v="2"/>
    <n v="1"/>
    <x v="939"/>
    <n v="23447"/>
    <n v="1"/>
    <n v="14"/>
    <n v="3"/>
    <n v="1"/>
    <n v="80"/>
    <n v="0"/>
    <n v="10"/>
    <n v="3"/>
    <n v="10"/>
    <n v="7"/>
    <n v="1"/>
    <n v="4"/>
  </r>
  <r>
    <x v="1"/>
    <s v="Travel_Rarely"/>
    <x v="1"/>
    <s v="Current Employees"/>
    <x v="1"/>
    <x v="2"/>
    <x v="1285"/>
    <n v="1980"/>
    <x v="0"/>
    <x v="3"/>
    <x v="0"/>
    <s v="Yes"/>
    <s v="Y"/>
    <n v="3"/>
    <n v="-2"/>
    <n v="0"/>
    <x v="33"/>
    <x v="1"/>
    <x v="1"/>
    <n v="0"/>
    <n v="1"/>
    <n v="157"/>
    <n v="10"/>
    <x v="3"/>
    <x v="0"/>
    <n v="3"/>
    <n v="77"/>
    <n v="3"/>
    <n v="2"/>
    <n v="1"/>
    <x v="1160"/>
    <n v="25198"/>
    <n v="6"/>
    <n v="19"/>
    <n v="3"/>
    <n v="4"/>
    <n v="80"/>
    <n v="0"/>
    <n v="9"/>
    <n v="3"/>
    <n v="5"/>
    <n v="2"/>
    <n v="1"/>
    <n v="4"/>
  </r>
  <r>
    <x v="1"/>
    <s v="Travel_Rarely"/>
    <x v="0"/>
    <s v="Current Employees"/>
    <x v="1"/>
    <x v="0"/>
    <x v="1286"/>
    <n v="1641"/>
    <x v="0"/>
    <x v="3"/>
    <x v="0"/>
    <s v="Yes"/>
    <s v="Y"/>
    <n v="2"/>
    <n v="-2"/>
    <n v="0"/>
    <x v="32"/>
    <x v="1"/>
    <x v="1"/>
    <n v="0"/>
    <n v="1"/>
    <n v="448"/>
    <n v="16"/>
    <x v="3"/>
    <x v="0"/>
    <n v="3"/>
    <n v="84"/>
    <n v="3"/>
    <n v="3"/>
    <n v="4"/>
    <x v="1190"/>
    <n v="19948"/>
    <n v="6"/>
    <n v="15"/>
    <n v="3"/>
    <n v="4"/>
    <n v="80"/>
    <n v="0"/>
    <n v="18"/>
    <n v="2"/>
    <n v="4"/>
    <n v="2"/>
    <n v="3"/>
    <n v="3"/>
  </r>
  <r>
    <x v="1"/>
    <s v="Travel_Rarely"/>
    <x v="0"/>
    <s v="Current Employees"/>
    <x v="0"/>
    <x v="3"/>
    <x v="1287"/>
    <n v="1815"/>
    <x v="0"/>
    <x v="0"/>
    <x v="2"/>
    <s v="Yes"/>
    <s v="Y"/>
    <n v="3"/>
    <n v="-2"/>
    <n v="0"/>
    <x v="0"/>
    <x v="1"/>
    <x v="1"/>
    <n v="0"/>
    <n v="1"/>
    <n v="796"/>
    <n v="4"/>
    <x v="1"/>
    <x v="0"/>
    <n v="3"/>
    <n v="81"/>
    <n v="3"/>
    <n v="3"/>
    <n v="1"/>
    <x v="1191"/>
    <n v="26458"/>
    <n v="0"/>
    <n v="13"/>
    <n v="3"/>
    <n v="4"/>
    <n v="80"/>
    <n v="1"/>
    <n v="23"/>
    <n v="4"/>
    <n v="22"/>
    <n v="14"/>
    <n v="13"/>
    <n v="5"/>
  </r>
  <r>
    <x v="1"/>
    <s v="Travel_Rarely"/>
    <x v="2"/>
    <s v="Current Employees"/>
    <x v="0"/>
    <x v="2"/>
    <x v="1288"/>
    <n v="1912"/>
    <x v="0"/>
    <x v="0"/>
    <x v="2"/>
    <s v="Yes"/>
    <s v="Y"/>
    <n v="2"/>
    <n v="-2"/>
    <n v="0"/>
    <x v="12"/>
    <x v="1"/>
    <x v="1"/>
    <n v="0"/>
    <n v="1"/>
    <n v="1079"/>
    <n v="10"/>
    <x v="0"/>
    <x v="0"/>
    <n v="3"/>
    <n v="86"/>
    <n v="3"/>
    <n v="2"/>
    <n v="4"/>
    <x v="1192"/>
    <n v="20115"/>
    <n v="2"/>
    <n v="11"/>
    <n v="3"/>
    <n v="4"/>
    <n v="80"/>
    <n v="1"/>
    <n v="8"/>
    <n v="3"/>
    <n v="5"/>
    <n v="2"/>
    <n v="1"/>
    <n v="4"/>
  </r>
  <r>
    <x v="1"/>
    <s v="Travel_Rarely"/>
    <x v="0"/>
    <s v="Current Employees"/>
    <x v="0"/>
    <x v="0"/>
    <x v="1289"/>
    <n v="1962"/>
    <x v="0"/>
    <x v="0"/>
    <x v="1"/>
    <s v="Yes"/>
    <s v="Y"/>
    <n v="2"/>
    <n v="-2"/>
    <n v="0"/>
    <x v="10"/>
    <x v="1"/>
    <x v="1"/>
    <n v="0"/>
    <n v="1"/>
    <n v="1224"/>
    <n v="7"/>
    <x v="2"/>
    <x v="0"/>
    <n v="3"/>
    <n v="55"/>
    <n v="3"/>
    <n v="2"/>
    <n v="4"/>
    <x v="626"/>
    <n v="13586"/>
    <n v="1"/>
    <n v="11"/>
    <n v="3"/>
    <n v="4"/>
    <n v="80"/>
    <n v="0"/>
    <n v="10"/>
    <n v="3"/>
    <n v="10"/>
    <n v="8"/>
    <n v="0"/>
    <n v="9"/>
  </r>
  <r>
    <x v="1"/>
    <s v="Travel_Rarely"/>
    <x v="2"/>
    <s v="Current Employees"/>
    <x v="0"/>
    <x v="2"/>
    <x v="1290"/>
    <n v="1915"/>
    <x v="0"/>
    <x v="0"/>
    <x v="1"/>
    <s v="Yes"/>
    <s v="Y"/>
    <n v="3"/>
    <n v="-2"/>
    <n v="0"/>
    <x v="13"/>
    <x v="1"/>
    <x v="1"/>
    <n v="0"/>
    <n v="1"/>
    <n v="735"/>
    <n v="3"/>
    <x v="1"/>
    <x v="0"/>
    <n v="4"/>
    <n v="75"/>
    <n v="2"/>
    <n v="2"/>
    <n v="4"/>
    <x v="1193"/>
    <n v="16495"/>
    <n v="3"/>
    <n v="12"/>
    <n v="3"/>
    <n v="3"/>
    <n v="80"/>
    <n v="0"/>
    <n v="9"/>
    <n v="2"/>
    <n v="4"/>
    <n v="2"/>
    <n v="0"/>
    <n v="1"/>
  </r>
  <r>
    <x v="1"/>
    <s v="Travel_Rarely"/>
    <x v="0"/>
    <s v="Current Employees"/>
    <x v="0"/>
    <x v="4"/>
    <x v="1291"/>
    <n v="1880"/>
    <x v="0"/>
    <x v="0"/>
    <x v="1"/>
    <s v="Yes"/>
    <s v="Y"/>
    <n v="4"/>
    <n v="-2"/>
    <n v="0"/>
    <x v="9"/>
    <x v="1"/>
    <x v="1"/>
    <n v="0"/>
    <n v="1"/>
    <n v="1266"/>
    <n v="10"/>
    <x v="2"/>
    <x v="0"/>
    <n v="4"/>
    <n v="63"/>
    <n v="2"/>
    <n v="2"/>
    <n v="4"/>
    <x v="1194"/>
    <n v="6060"/>
    <n v="1"/>
    <n v="13"/>
    <n v="3"/>
    <n v="1"/>
    <n v="80"/>
    <n v="1"/>
    <n v="10"/>
    <n v="3"/>
    <n v="10"/>
    <n v="9"/>
    <n v="1"/>
    <n v="7"/>
  </r>
  <r>
    <x v="1"/>
    <s v="Travel_Rarely"/>
    <x v="1"/>
    <s v="Current Employees"/>
    <x v="0"/>
    <x v="2"/>
    <x v="1292"/>
    <n v="1503"/>
    <x v="0"/>
    <x v="0"/>
    <x v="1"/>
    <s v="Yes"/>
    <s v="Y"/>
    <n v="4"/>
    <n v="-2"/>
    <n v="0"/>
    <x v="40"/>
    <x v="1"/>
    <x v="1"/>
    <n v="0"/>
    <n v="1"/>
    <n v="571"/>
    <n v="14"/>
    <x v="3"/>
    <x v="0"/>
    <n v="3"/>
    <n v="78"/>
    <n v="3"/>
    <n v="2"/>
    <n v="3"/>
    <x v="1195"/>
    <n v="24200"/>
    <n v="3"/>
    <n v="17"/>
    <n v="3"/>
    <n v="3"/>
    <n v="80"/>
    <n v="1"/>
    <n v="11"/>
    <n v="2"/>
    <n v="5"/>
    <n v="4"/>
    <n v="1"/>
    <n v="2"/>
  </r>
  <r>
    <x v="1"/>
    <s v="Travel_Rarely"/>
    <x v="3"/>
    <s v="Current Employees"/>
    <x v="0"/>
    <x v="0"/>
    <x v="1293"/>
    <n v="1938"/>
    <x v="0"/>
    <x v="5"/>
    <x v="1"/>
    <s v="Yes"/>
    <s v="Y"/>
    <n v="2"/>
    <n v="-2"/>
    <n v="0"/>
    <x v="34"/>
    <x v="1"/>
    <x v="1"/>
    <n v="0"/>
    <n v="1"/>
    <n v="605"/>
    <n v="21"/>
    <x v="3"/>
    <x v="0"/>
    <n v="4"/>
    <n v="72"/>
    <n v="3"/>
    <n v="4"/>
    <n v="4"/>
    <x v="1196"/>
    <n v="11761"/>
    <n v="4"/>
    <n v="13"/>
    <n v="3"/>
    <n v="3"/>
    <n v="80"/>
    <n v="1"/>
    <n v="29"/>
    <n v="2"/>
    <n v="1"/>
    <n v="0"/>
    <n v="0"/>
    <n v="0"/>
  </r>
  <r>
    <x v="1"/>
    <s v="Travel_Rarely"/>
    <x v="4"/>
    <s v="Current Employees"/>
    <x v="0"/>
    <x v="2"/>
    <x v="1294"/>
    <n v="1445"/>
    <x v="0"/>
    <x v="0"/>
    <x v="1"/>
    <s v="Yes"/>
    <s v="Y"/>
    <n v="3"/>
    <n v="-2"/>
    <n v="0"/>
    <x v="17"/>
    <x v="1"/>
    <x v="1"/>
    <n v="0"/>
    <n v="1"/>
    <n v="1476"/>
    <n v="4"/>
    <x v="1"/>
    <x v="0"/>
    <n v="4"/>
    <n v="42"/>
    <n v="3"/>
    <n v="2"/>
    <n v="3"/>
    <x v="1197"/>
    <n v="15211"/>
    <n v="1"/>
    <n v="12"/>
    <n v="3"/>
    <n v="3"/>
    <n v="80"/>
    <n v="2"/>
    <n v="5"/>
    <n v="3"/>
    <n v="5"/>
    <n v="4"/>
    <n v="0"/>
    <n v="3"/>
  </r>
  <r>
    <x v="1"/>
    <s v="Travel_Rarely"/>
    <x v="0"/>
    <s v="Current Employees"/>
    <x v="0"/>
    <x v="3"/>
    <x v="1295"/>
    <n v="1425"/>
    <x v="0"/>
    <x v="0"/>
    <x v="0"/>
    <s v="Yes"/>
    <s v="Y"/>
    <n v="3"/>
    <n v="-2"/>
    <n v="0"/>
    <x v="9"/>
    <x v="1"/>
    <x v="1"/>
    <n v="0"/>
    <n v="1"/>
    <n v="1174"/>
    <n v="3"/>
    <x v="2"/>
    <x v="0"/>
    <n v="1"/>
    <n v="99"/>
    <n v="3"/>
    <n v="2"/>
    <n v="1"/>
    <x v="1198"/>
    <n v="20763"/>
    <n v="3"/>
    <n v="16"/>
    <n v="3"/>
    <n v="4"/>
    <n v="80"/>
    <n v="0"/>
    <n v="15"/>
    <n v="3"/>
    <n v="5"/>
    <n v="4"/>
    <n v="0"/>
    <n v="1"/>
  </r>
  <r>
    <x v="1"/>
    <s v="Non-Travel"/>
    <x v="0"/>
    <s v="Current Employees"/>
    <x v="1"/>
    <x v="0"/>
    <x v="1296"/>
    <n v="1552"/>
    <x v="1"/>
    <x v="4"/>
    <x v="2"/>
    <s v="Yes"/>
    <s v="Y"/>
    <n v="2"/>
    <n v="-2"/>
    <n v="0"/>
    <x v="32"/>
    <x v="1"/>
    <x v="1"/>
    <n v="0"/>
    <n v="1"/>
    <n v="1142"/>
    <n v="8"/>
    <x v="0"/>
    <x v="0"/>
    <n v="4"/>
    <n v="72"/>
    <n v="3"/>
    <n v="2"/>
    <n v="4"/>
    <x v="1199"/>
    <n v="8841"/>
    <n v="3"/>
    <n v="18"/>
    <n v="3"/>
    <n v="3"/>
    <n v="80"/>
    <n v="0"/>
    <n v="8"/>
    <n v="3"/>
    <n v="2"/>
    <n v="2"/>
    <n v="2"/>
    <n v="2"/>
  </r>
  <r>
    <x v="1"/>
    <s v="Non-Travel"/>
    <x v="2"/>
    <s v="Current Employees"/>
    <x v="1"/>
    <x v="2"/>
    <x v="1297"/>
    <n v="1948"/>
    <x v="1"/>
    <x v="1"/>
    <x v="2"/>
    <s v="Yes"/>
    <s v="Y"/>
    <n v="3"/>
    <n v="-2"/>
    <n v="0"/>
    <x v="12"/>
    <x v="1"/>
    <x v="1"/>
    <n v="0"/>
    <n v="1"/>
    <n v="976"/>
    <n v="3"/>
    <x v="0"/>
    <x v="0"/>
    <n v="3"/>
    <n v="48"/>
    <n v="3"/>
    <n v="1"/>
    <n v="1"/>
    <x v="1200"/>
    <n v="3995"/>
    <n v="1"/>
    <n v="13"/>
    <n v="3"/>
    <n v="4"/>
    <n v="80"/>
    <n v="1"/>
    <n v="4"/>
    <n v="4"/>
    <n v="4"/>
    <n v="2"/>
    <n v="2"/>
    <n v="3"/>
  </r>
  <r>
    <x v="1"/>
    <s v="Non-Travel"/>
    <x v="0"/>
    <s v="Current Employees"/>
    <x v="1"/>
    <x v="0"/>
    <x v="1298"/>
    <n v="1737"/>
    <x v="1"/>
    <x v="2"/>
    <x v="1"/>
    <s v="Yes"/>
    <s v="Y"/>
    <n v="2"/>
    <n v="-2"/>
    <n v="0"/>
    <x v="22"/>
    <x v="1"/>
    <x v="1"/>
    <n v="0"/>
    <n v="1"/>
    <n v="792"/>
    <n v="1"/>
    <x v="3"/>
    <x v="0"/>
    <n v="4"/>
    <n v="77"/>
    <n v="3"/>
    <n v="2"/>
    <n v="4"/>
    <x v="1201"/>
    <n v="8989"/>
    <n v="1"/>
    <n v="15"/>
    <n v="3"/>
    <n v="4"/>
    <n v="80"/>
    <n v="1"/>
    <n v="9"/>
    <n v="3"/>
    <n v="9"/>
    <n v="8"/>
    <n v="5"/>
    <n v="8"/>
  </r>
  <r>
    <x v="1"/>
    <s v="Non-Travel"/>
    <x v="2"/>
    <s v="Current Employees"/>
    <x v="0"/>
    <x v="0"/>
    <x v="1299"/>
    <n v="1774"/>
    <x v="1"/>
    <x v="0"/>
    <x v="2"/>
    <s v="Yes"/>
    <s v="Y"/>
    <n v="3"/>
    <n v="-2"/>
    <n v="0"/>
    <x v="13"/>
    <x v="1"/>
    <x v="1"/>
    <n v="0"/>
    <n v="1"/>
    <n v="1375"/>
    <n v="10"/>
    <x v="3"/>
    <x v="0"/>
    <n v="4"/>
    <n v="87"/>
    <n v="3"/>
    <n v="2"/>
    <n v="3"/>
    <x v="1202"/>
    <n v="12313"/>
    <n v="1"/>
    <n v="14"/>
    <n v="3"/>
    <n v="3"/>
    <n v="80"/>
    <n v="1"/>
    <n v="15"/>
    <n v="3"/>
    <n v="15"/>
    <n v="14"/>
    <n v="0"/>
    <n v="7"/>
  </r>
  <r>
    <x v="1"/>
    <s v="Travel_Frequently"/>
    <x v="0"/>
    <s v="Current Employees"/>
    <x v="2"/>
    <x v="5"/>
    <x v="1300"/>
    <n v="1642"/>
    <x v="1"/>
    <x v="8"/>
    <x v="1"/>
    <s v="Yes"/>
    <s v="Y"/>
    <n v="3"/>
    <n v="-2"/>
    <n v="0"/>
    <x v="20"/>
    <x v="1"/>
    <x v="1"/>
    <n v="0"/>
    <n v="1"/>
    <n v="602"/>
    <n v="1"/>
    <x v="4"/>
    <x v="0"/>
    <n v="1"/>
    <n v="37"/>
    <n v="3"/>
    <n v="2"/>
    <n v="4"/>
    <x v="1203"/>
    <n v="10503"/>
    <n v="4"/>
    <n v="11"/>
    <n v="3"/>
    <n v="3"/>
    <n v="80"/>
    <n v="0"/>
    <n v="14"/>
    <n v="3"/>
    <n v="10"/>
    <n v="7"/>
    <n v="0"/>
    <n v="2"/>
  </r>
  <r>
    <x v="1"/>
    <s v="Travel_Frequently"/>
    <x v="0"/>
    <s v="Current Employees"/>
    <x v="2"/>
    <x v="1"/>
    <x v="1301"/>
    <n v="1972"/>
    <x v="1"/>
    <x v="8"/>
    <x v="1"/>
    <s v="Yes"/>
    <s v="Y"/>
    <n v="2"/>
    <n v="-2"/>
    <n v="0"/>
    <x v="8"/>
    <x v="1"/>
    <x v="1"/>
    <n v="0"/>
    <n v="1"/>
    <n v="1444"/>
    <n v="1"/>
    <x v="2"/>
    <x v="0"/>
    <n v="4"/>
    <n v="88"/>
    <n v="3"/>
    <n v="1"/>
    <n v="2"/>
    <x v="1204"/>
    <n v="5224"/>
    <n v="0"/>
    <n v="11"/>
    <n v="3"/>
    <n v="2"/>
    <n v="80"/>
    <n v="1"/>
    <n v="7"/>
    <n v="3"/>
    <n v="6"/>
    <n v="2"/>
    <n v="1"/>
    <n v="2"/>
  </r>
  <r>
    <x v="1"/>
    <s v="Travel_Frequently"/>
    <x v="3"/>
    <s v="Current Employees"/>
    <x v="1"/>
    <x v="0"/>
    <x v="1302"/>
    <n v="1837"/>
    <x v="1"/>
    <x v="7"/>
    <x v="1"/>
    <s v="Yes"/>
    <s v="Y"/>
    <n v="3"/>
    <n v="-2"/>
    <n v="0"/>
    <x v="34"/>
    <x v="1"/>
    <x v="1"/>
    <n v="0"/>
    <n v="1"/>
    <n v="1216"/>
    <n v="15"/>
    <x v="2"/>
    <x v="0"/>
    <n v="1"/>
    <n v="87"/>
    <n v="3"/>
    <n v="4"/>
    <n v="3"/>
    <x v="1205"/>
    <n v="21624"/>
    <n v="2"/>
    <n v="14"/>
    <n v="3"/>
    <n v="2"/>
    <n v="80"/>
    <n v="0"/>
    <n v="23"/>
    <n v="3"/>
    <n v="2"/>
    <n v="2"/>
    <n v="2"/>
    <n v="2"/>
  </r>
  <r>
    <x v="1"/>
    <s v="Travel_Frequently"/>
    <x v="2"/>
    <s v="Current Employees"/>
    <x v="1"/>
    <x v="1"/>
    <x v="1303"/>
    <n v="1932"/>
    <x v="1"/>
    <x v="1"/>
    <x v="1"/>
    <s v="Yes"/>
    <s v="Y"/>
    <n v="3"/>
    <n v="-2"/>
    <n v="0"/>
    <x v="13"/>
    <x v="1"/>
    <x v="1"/>
    <n v="0"/>
    <n v="1"/>
    <n v="735"/>
    <n v="22"/>
    <x v="2"/>
    <x v="0"/>
    <n v="3"/>
    <n v="86"/>
    <n v="2"/>
    <n v="2"/>
    <n v="4"/>
    <x v="1206"/>
    <n v="26496"/>
    <n v="1"/>
    <n v="15"/>
    <n v="3"/>
    <n v="2"/>
    <n v="80"/>
    <n v="0"/>
    <n v="16"/>
    <n v="3"/>
    <n v="15"/>
    <n v="10"/>
    <n v="6"/>
    <n v="11"/>
  </r>
  <r>
    <x v="1"/>
    <s v="Travel_Frequently"/>
    <x v="0"/>
    <s v="Current Employees"/>
    <x v="1"/>
    <x v="0"/>
    <x v="1304"/>
    <n v="1594"/>
    <x v="1"/>
    <x v="2"/>
    <x v="1"/>
    <s v="Yes"/>
    <s v="Y"/>
    <n v="3"/>
    <n v="-2"/>
    <n v="0"/>
    <x v="9"/>
    <x v="1"/>
    <x v="1"/>
    <n v="0"/>
    <n v="1"/>
    <n v="1302"/>
    <n v="6"/>
    <x v="2"/>
    <x v="0"/>
    <n v="1"/>
    <n v="80"/>
    <n v="4"/>
    <n v="2"/>
    <n v="1"/>
    <x v="622"/>
    <n v="19711"/>
    <n v="3"/>
    <n v="13"/>
    <n v="3"/>
    <n v="4"/>
    <n v="80"/>
    <n v="1"/>
    <n v="9"/>
    <n v="3"/>
    <n v="3"/>
    <n v="2"/>
    <n v="0"/>
    <n v="2"/>
  </r>
  <r>
    <x v="1"/>
    <s v="Travel_Frequently"/>
    <x v="1"/>
    <s v="Current Employees"/>
    <x v="1"/>
    <x v="2"/>
    <x v="1305"/>
    <n v="1606"/>
    <x v="1"/>
    <x v="4"/>
    <x v="1"/>
    <s v="Yes"/>
    <s v="Y"/>
    <n v="3"/>
    <n v="-2"/>
    <n v="0"/>
    <x v="24"/>
    <x v="1"/>
    <x v="1"/>
    <n v="0"/>
    <n v="1"/>
    <n v="1234"/>
    <n v="20"/>
    <x v="4"/>
    <x v="0"/>
    <n v="2"/>
    <n v="41"/>
    <n v="3"/>
    <n v="4"/>
    <n v="3"/>
    <x v="1207"/>
    <n v="20689"/>
    <n v="2"/>
    <n v="15"/>
    <n v="3"/>
    <n v="3"/>
    <n v="80"/>
    <n v="1"/>
    <n v="32"/>
    <n v="3"/>
    <n v="30"/>
    <n v="8"/>
    <n v="12"/>
    <n v="13"/>
  </r>
  <r>
    <x v="1"/>
    <s v="Travel_Frequently"/>
    <x v="0"/>
    <s v="Current Employees"/>
    <x v="1"/>
    <x v="0"/>
    <x v="1306"/>
    <n v="1547"/>
    <x v="1"/>
    <x v="4"/>
    <x v="1"/>
    <s v="Yes"/>
    <s v="Y"/>
    <n v="3"/>
    <n v="-2"/>
    <n v="0"/>
    <x v="19"/>
    <x v="1"/>
    <x v="1"/>
    <n v="0"/>
    <n v="1"/>
    <n v="288"/>
    <n v="2"/>
    <x v="3"/>
    <x v="0"/>
    <n v="4"/>
    <n v="40"/>
    <n v="3"/>
    <n v="3"/>
    <n v="4"/>
    <x v="1208"/>
    <n v="18611"/>
    <n v="2"/>
    <n v="14"/>
    <n v="3"/>
    <n v="3"/>
    <n v="80"/>
    <n v="1"/>
    <n v="24"/>
    <n v="1"/>
    <n v="20"/>
    <n v="8"/>
    <n v="13"/>
    <n v="9"/>
  </r>
  <r>
    <x v="1"/>
    <s v="Travel_Frequently"/>
    <x v="0"/>
    <s v="Current Employees"/>
    <x v="1"/>
    <x v="0"/>
    <x v="1307"/>
    <n v="2049"/>
    <x v="1"/>
    <x v="4"/>
    <x v="1"/>
    <s v="Yes"/>
    <s v="Y"/>
    <n v="2"/>
    <n v="-2"/>
    <n v="0"/>
    <x v="10"/>
    <x v="1"/>
    <x v="1"/>
    <n v="0"/>
    <n v="1"/>
    <n v="1199"/>
    <n v="18"/>
    <x v="2"/>
    <x v="0"/>
    <n v="3"/>
    <n v="80"/>
    <n v="3"/>
    <n v="2"/>
    <n v="3"/>
    <x v="1209"/>
    <n v="24594"/>
    <n v="1"/>
    <n v="14"/>
    <n v="3"/>
    <n v="4"/>
    <n v="80"/>
    <n v="2"/>
    <n v="10"/>
    <n v="4"/>
    <n v="10"/>
    <n v="2"/>
    <n v="0"/>
    <n v="2"/>
  </r>
  <r>
    <x v="1"/>
    <s v="Travel_Frequently"/>
    <x v="0"/>
    <s v="Current Employees"/>
    <x v="1"/>
    <x v="2"/>
    <x v="1308"/>
    <n v="1704"/>
    <x v="1"/>
    <x v="1"/>
    <x v="0"/>
    <s v="Yes"/>
    <s v="Y"/>
    <n v="2"/>
    <n v="-2"/>
    <n v="0"/>
    <x v="10"/>
    <x v="1"/>
    <x v="1"/>
    <n v="0"/>
    <n v="1"/>
    <n v="146"/>
    <n v="2"/>
    <x v="2"/>
    <x v="0"/>
    <n v="1"/>
    <n v="79"/>
    <n v="2"/>
    <n v="1"/>
    <n v="4"/>
    <x v="1210"/>
    <n v="13970"/>
    <n v="0"/>
    <n v="14"/>
    <n v="3"/>
    <n v="3"/>
    <n v="80"/>
    <n v="0"/>
    <n v="6"/>
    <n v="4"/>
    <n v="5"/>
    <n v="4"/>
    <n v="1"/>
    <n v="4"/>
  </r>
  <r>
    <x v="1"/>
    <s v="Travel_Frequently"/>
    <x v="0"/>
    <s v="Current Employees"/>
    <x v="1"/>
    <x v="2"/>
    <x v="1309"/>
    <n v="1496"/>
    <x v="1"/>
    <x v="3"/>
    <x v="0"/>
    <s v="Yes"/>
    <s v="Y"/>
    <n v="2"/>
    <n v="-2"/>
    <n v="0"/>
    <x v="20"/>
    <x v="1"/>
    <x v="1"/>
    <n v="0"/>
    <n v="1"/>
    <n v="1193"/>
    <n v="2"/>
    <x v="1"/>
    <x v="0"/>
    <n v="2"/>
    <n v="86"/>
    <n v="3"/>
    <n v="3"/>
    <n v="3"/>
    <x v="1211"/>
    <n v="19719"/>
    <n v="5"/>
    <n v="18"/>
    <n v="3"/>
    <n v="2"/>
    <n v="80"/>
    <n v="0"/>
    <n v="16"/>
    <n v="2"/>
    <n v="2"/>
    <n v="2"/>
    <n v="2"/>
    <n v="2"/>
  </r>
  <r>
    <x v="1"/>
    <s v="Travel_Frequently"/>
    <x v="1"/>
    <s v="Current Employees"/>
    <x v="1"/>
    <x v="2"/>
    <x v="1310"/>
    <n v="1539"/>
    <x v="1"/>
    <x v="7"/>
    <x v="0"/>
    <s v="Yes"/>
    <s v="Y"/>
    <n v="2"/>
    <n v="-2"/>
    <n v="0"/>
    <x v="24"/>
    <x v="1"/>
    <x v="1"/>
    <n v="0"/>
    <n v="1"/>
    <n v="333"/>
    <n v="22"/>
    <x v="4"/>
    <x v="0"/>
    <n v="3"/>
    <n v="88"/>
    <n v="1"/>
    <n v="4"/>
    <n v="4"/>
    <x v="1212"/>
    <n v="24450"/>
    <n v="1"/>
    <n v="13"/>
    <n v="3"/>
    <n v="4"/>
    <n v="80"/>
    <n v="0"/>
    <n v="32"/>
    <n v="3"/>
    <n v="32"/>
    <n v="6"/>
    <n v="13"/>
    <n v="9"/>
  </r>
  <r>
    <x v="1"/>
    <s v="Travel_Frequently"/>
    <x v="2"/>
    <s v="Current Employees"/>
    <x v="1"/>
    <x v="0"/>
    <x v="1311"/>
    <n v="1753"/>
    <x v="1"/>
    <x v="4"/>
    <x v="0"/>
    <s v="Yes"/>
    <s v="Y"/>
    <n v="5"/>
    <n v="-2"/>
    <n v="0"/>
    <x v="11"/>
    <x v="1"/>
    <x v="1"/>
    <n v="0"/>
    <n v="1"/>
    <n v="461"/>
    <n v="1"/>
    <x v="3"/>
    <x v="0"/>
    <n v="4"/>
    <n v="70"/>
    <n v="4"/>
    <n v="2"/>
    <n v="3"/>
    <x v="1213"/>
    <n v="23060"/>
    <n v="8"/>
    <n v="12"/>
    <n v="3"/>
    <n v="4"/>
    <n v="80"/>
    <n v="0"/>
    <n v="10"/>
    <n v="4"/>
    <n v="3"/>
    <n v="2"/>
    <n v="0"/>
    <n v="2"/>
  </r>
  <r>
    <x v="1"/>
    <s v="Travel_Frequently"/>
    <x v="2"/>
    <s v="Current Employees"/>
    <x v="0"/>
    <x v="0"/>
    <x v="1312"/>
    <n v="1927"/>
    <x v="1"/>
    <x v="0"/>
    <x v="1"/>
    <s v="Yes"/>
    <s v="Y"/>
    <n v="2"/>
    <n v="-2"/>
    <n v="0"/>
    <x v="14"/>
    <x v="1"/>
    <x v="1"/>
    <n v="0"/>
    <n v="1"/>
    <n v="783"/>
    <n v="1"/>
    <x v="0"/>
    <x v="0"/>
    <n v="3"/>
    <n v="42"/>
    <n v="2"/>
    <n v="2"/>
    <n v="4"/>
    <x v="1214"/>
    <n v="19255"/>
    <n v="1"/>
    <n v="12"/>
    <n v="3"/>
    <n v="3"/>
    <n v="80"/>
    <n v="1"/>
    <n v="7"/>
    <n v="3"/>
    <n v="7"/>
    <n v="7"/>
    <n v="0"/>
    <n v="7"/>
  </r>
  <r>
    <x v="1"/>
    <s v="Travel_Rarely"/>
    <x v="3"/>
    <s v="Current Employees"/>
    <x v="2"/>
    <x v="5"/>
    <x v="1313"/>
    <n v="1973"/>
    <x v="1"/>
    <x v="5"/>
    <x v="1"/>
    <s v="Yes"/>
    <s v="Y"/>
    <n v="0"/>
    <n v="-2"/>
    <n v="0"/>
    <x v="27"/>
    <x v="1"/>
    <x v="1"/>
    <n v="0"/>
    <n v="1"/>
    <n v="189"/>
    <n v="26"/>
    <x v="2"/>
    <x v="0"/>
    <n v="3"/>
    <n v="71"/>
    <n v="4"/>
    <n v="5"/>
    <n v="2"/>
    <x v="1215"/>
    <n v="25811"/>
    <n v="4"/>
    <n v="18"/>
    <n v="3"/>
    <n v="1"/>
    <n v="80"/>
    <n v="1"/>
    <n v="35"/>
    <n v="3"/>
    <n v="10"/>
    <n v="9"/>
    <n v="1"/>
    <n v="4"/>
  </r>
  <r>
    <x v="1"/>
    <s v="Travel_Rarely"/>
    <x v="1"/>
    <s v="Current Employees"/>
    <x v="1"/>
    <x v="2"/>
    <x v="1314"/>
    <n v="1460"/>
    <x v="1"/>
    <x v="4"/>
    <x v="2"/>
    <s v="Yes"/>
    <s v="Y"/>
    <n v="2"/>
    <n v="-2"/>
    <n v="0"/>
    <x v="28"/>
    <x v="1"/>
    <x v="1"/>
    <n v="0"/>
    <n v="1"/>
    <n v="1038"/>
    <n v="20"/>
    <x v="3"/>
    <x v="0"/>
    <n v="2"/>
    <n v="95"/>
    <n v="1"/>
    <n v="3"/>
    <n v="1"/>
    <x v="1216"/>
    <n v="19863"/>
    <n v="2"/>
    <n v="18"/>
    <n v="3"/>
    <n v="2"/>
    <n v="80"/>
    <n v="1"/>
    <n v="24"/>
    <n v="3"/>
    <n v="7"/>
    <n v="7"/>
    <n v="0"/>
    <n v="7"/>
  </r>
  <r>
    <x v="1"/>
    <s v="Travel_Rarely"/>
    <x v="1"/>
    <s v="Current Employees"/>
    <x v="1"/>
    <x v="2"/>
    <x v="1315"/>
    <n v="1789"/>
    <x v="1"/>
    <x v="7"/>
    <x v="2"/>
    <s v="Yes"/>
    <s v="Y"/>
    <n v="3"/>
    <n v="-2"/>
    <n v="0"/>
    <x v="21"/>
    <x v="1"/>
    <x v="1"/>
    <n v="0"/>
    <n v="1"/>
    <n v="734"/>
    <n v="2"/>
    <x v="2"/>
    <x v="0"/>
    <n v="3"/>
    <n v="46"/>
    <n v="3"/>
    <n v="5"/>
    <n v="4"/>
    <x v="1217"/>
    <n v="14218"/>
    <n v="7"/>
    <n v="17"/>
    <n v="3"/>
    <n v="3"/>
    <n v="80"/>
    <n v="1"/>
    <n v="24"/>
    <n v="3"/>
    <n v="2"/>
    <n v="1"/>
    <n v="2"/>
    <n v="2"/>
  </r>
  <r>
    <x v="1"/>
    <s v="Travel_Rarely"/>
    <x v="0"/>
    <s v="Current Employees"/>
    <x v="1"/>
    <x v="0"/>
    <x v="1316"/>
    <n v="1998"/>
    <x v="1"/>
    <x v="1"/>
    <x v="2"/>
    <s v="Yes"/>
    <s v="Y"/>
    <n v="3"/>
    <n v="-2"/>
    <n v="0"/>
    <x v="19"/>
    <x v="1"/>
    <x v="1"/>
    <n v="0"/>
    <n v="1"/>
    <n v="557"/>
    <n v="18"/>
    <x v="2"/>
    <x v="0"/>
    <n v="4"/>
    <n v="35"/>
    <n v="3"/>
    <n v="2"/>
    <n v="1"/>
    <x v="874"/>
    <n v="11189"/>
    <n v="6"/>
    <n v="17"/>
    <n v="3"/>
    <n v="3"/>
    <n v="80"/>
    <n v="1"/>
    <n v="9"/>
    <n v="2"/>
    <n v="4"/>
    <n v="3"/>
    <n v="1"/>
    <n v="2"/>
  </r>
  <r>
    <x v="1"/>
    <s v="Travel_Rarely"/>
    <x v="2"/>
    <s v="Current Employees"/>
    <x v="1"/>
    <x v="1"/>
    <x v="1317"/>
    <n v="1992"/>
    <x v="1"/>
    <x v="2"/>
    <x v="2"/>
    <s v="Yes"/>
    <s v="Y"/>
    <n v="2"/>
    <n v="-2"/>
    <n v="0"/>
    <x v="36"/>
    <x v="1"/>
    <x v="1"/>
    <n v="0"/>
    <n v="1"/>
    <n v="977"/>
    <n v="2"/>
    <x v="1"/>
    <x v="0"/>
    <n v="4"/>
    <n v="57"/>
    <n v="3"/>
    <n v="1"/>
    <n v="3"/>
    <x v="1218"/>
    <n v="7298"/>
    <n v="6"/>
    <n v="19"/>
    <n v="3"/>
    <n v="3"/>
    <n v="80"/>
    <n v="1"/>
    <n v="7"/>
    <n v="2"/>
    <n v="2"/>
    <n v="2"/>
    <n v="0"/>
    <n v="2"/>
  </r>
  <r>
    <x v="1"/>
    <s v="Travel_Rarely"/>
    <x v="0"/>
    <s v="Current Employees"/>
    <x v="1"/>
    <x v="2"/>
    <x v="1318"/>
    <n v="1448"/>
    <x v="1"/>
    <x v="1"/>
    <x v="1"/>
    <s v="Yes"/>
    <s v="Y"/>
    <n v="5"/>
    <n v="-2"/>
    <n v="0"/>
    <x v="0"/>
    <x v="1"/>
    <x v="1"/>
    <n v="0"/>
    <n v="1"/>
    <n v="1283"/>
    <n v="5"/>
    <x v="4"/>
    <x v="0"/>
    <n v="2"/>
    <n v="90"/>
    <n v="4"/>
    <n v="1"/>
    <n v="3"/>
    <x v="459"/>
    <n v="5561"/>
    <n v="2"/>
    <n v="12"/>
    <n v="3"/>
    <n v="1"/>
    <n v="80"/>
    <n v="0"/>
    <n v="7"/>
    <n v="2"/>
    <n v="4"/>
    <n v="2"/>
    <n v="0"/>
    <n v="3"/>
  </r>
  <r>
    <x v="1"/>
    <s v="Travel_Rarely"/>
    <x v="3"/>
    <s v="Current Employees"/>
    <x v="1"/>
    <x v="0"/>
    <x v="1319"/>
    <n v="1501"/>
    <x v="1"/>
    <x v="4"/>
    <x v="1"/>
    <s v="Yes"/>
    <s v="Y"/>
    <n v="2"/>
    <n v="-2"/>
    <n v="0"/>
    <x v="27"/>
    <x v="1"/>
    <x v="1"/>
    <n v="0"/>
    <n v="1"/>
    <n v="1229"/>
    <n v="4"/>
    <x v="2"/>
    <x v="0"/>
    <n v="4"/>
    <n v="30"/>
    <n v="3"/>
    <n v="2"/>
    <n v="3"/>
    <x v="1219"/>
    <n v="16143"/>
    <n v="0"/>
    <n v="16"/>
    <n v="3"/>
    <n v="2"/>
    <n v="80"/>
    <n v="0"/>
    <n v="4"/>
    <n v="3"/>
    <n v="3"/>
    <n v="2"/>
    <n v="1"/>
    <n v="2"/>
  </r>
  <r>
    <x v="1"/>
    <s v="Travel_Rarely"/>
    <x v="0"/>
    <s v="Current Employees"/>
    <x v="1"/>
    <x v="2"/>
    <x v="1320"/>
    <n v="1766"/>
    <x v="1"/>
    <x v="4"/>
    <x v="1"/>
    <s v="Yes"/>
    <s v="Y"/>
    <n v="2"/>
    <n v="-2"/>
    <n v="0"/>
    <x v="8"/>
    <x v="1"/>
    <x v="1"/>
    <n v="0"/>
    <n v="1"/>
    <n v="833"/>
    <n v="18"/>
    <x v="3"/>
    <x v="0"/>
    <n v="2"/>
    <n v="60"/>
    <n v="1"/>
    <n v="2"/>
    <n v="4"/>
    <x v="1220"/>
    <n v="24539"/>
    <n v="3"/>
    <n v="16"/>
    <n v="3"/>
    <n v="3"/>
    <n v="80"/>
    <n v="1"/>
    <n v="15"/>
    <n v="3"/>
    <n v="1"/>
    <n v="0"/>
    <n v="1"/>
    <n v="0"/>
  </r>
  <r>
    <x v="1"/>
    <s v="Travel_Rarely"/>
    <x v="2"/>
    <s v="Current Employees"/>
    <x v="1"/>
    <x v="0"/>
    <x v="1321"/>
    <n v="1549"/>
    <x v="1"/>
    <x v="2"/>
    <x v="1"/>
    <s v="Yes"/>
    <s v="Y"/>
    <n v="3"/>
    <n v="-2"/>
    <n v="0"/>
    <x v="3"/>
    <x v="1"/>
    <x v="1"/>
    <n v="0"/>
    <n v="1"/>
    <n v="589"/>
    <n v="28"/>
    <x v="2"/>
    <x v="0"/>
    <n v="2"/>
    <n v="79"/>
    <n v="3"/>
    <n v="2"/>
    <n v="3"/>
    <x v="1221"/>
    <n v="22949"/>
    <n v="1"/>
    <n v="12"/>
    <n v="3"/>
    <n v="2"/>
    <n v="80"/>
    <n v="1"/>
    <n v="15"/>
    <n v="3"/>
    <n v="15"/>
    <n v="14"/>
    <n v="5"/>
    <n v="7"/>
  </r>
  <r>
    <x v="1"/>
    <s v="Travel_Rarely"/>
    <x v="2"/>
    <s v="Current Employees"/>
    <x v="1"/>
    <x v="1"/>
    <x v="1322"/>
    <n v="2053"/>
    <x v="1"/>
    <x v="2"/>
    <x v="1"/>
    <s v="Yes"/>
    <s v="Y"/>
    <n v="2"/>
    <n v="-2"/>
    <n v="0"/>
    <x v="11"/>
    <x v="1"/>
    <x v="1"/>
    <n v="0"/>
    <n v="1"/>
    <n v="1378"/>
    <n v="13"/>
    <x v="0"/>
    <x v="0"/>
    <n v="4"/>
    <n v="46"/>
    <n v="2"/>
    <n v="2"/>
    <n v="2"/>
    <x v="717"/>
    <n v="23679"/>
    <n v="4"/>
    <n v="13"/>
    <n v="3"/>
    <n v="1"/>
    <n v="80"/>
    <n v="1"/>
    <n v="10"/>
    <n v="3"/>
    <n v="4"/>
    <n v="3"/>
    <n v="0"/>
    <n v="3"/>
  </r>
  <r>
    <x v="1"/>
    <s v="Travel_Rarely"/>
    <x v="0"/>
    <s v="Current Employees"/>
    <x v="1"/>
    <x v="0"/>
    <x v="1323"/>
    <n v="1790"/>
    <x v="1"/>
    <x v="4"/>
    <x v="1"/>
    <s v="Yes"/>
    <s v="Y"/>
    <n v="1"/>
    <n v="-2"/>
    <n v="0"/>
    <x v="9"/>
    <x v="1"/>
    <x v="1"/>
    <n v="0"/>
    <n v="1"/>
    <n v="1383"/>
    <n v="10"/>
    <x v="3"/>
    <x v="0"/>
    <n v="4"/>
    <n v="90"/>
    <n v="3"/>
    <n v="3"/>
    <n v="1"/>
    <x v="1222"/>
    <n v="25949"/>
    <n v="7"/>
    <n v="13"/>
    <n v="3"/>
    <n v="4"/>
    <n v="80"/>
    <n v="1"/>
    <n v="15"/>
    <n v="3"/>
    <n v="12"/>
    <n v="8"/>
    <n v="5"/>
    <n v="7"/>
  </r>
  <r>
    <x v="1"/>
    <s v="Travel_Rarely"/>
    <x v="0"/>
    <s v="Current Employees"/>
    <x v="1"/>
    <x v="2"/>
    <x v="1324"/>
    <n v="2003"/>
    <x v="1"/>
    <x v="2"/>
    <x v="1"/>
    <s v="Yes"/>
    <s v="Y"/>
    <n v="3"/>
    <n v="-2"/>
    <n v="0"/>
    <x v="10"/>
    <x v="1"/>
    <x v="1"/>
    <n v="0"/>
    <n v="1"/>
    <n v="1490"/>
    <n v="11"/>
    <x v="2"/>
    <x v="0"/>
    <n v="4"/>
    <n v="43"/>
    <n v="3"/>
    <n v="1"/>
    <n v="3"/>
    <x v="1223"/>
    <n v="20232"/>
    <n v="7"/>
    <n v="11"/>
    <n v="3"/>
    <n v="3"/>
    <n v="80"/>
    <n v="1"/>
    <n v="5"/>
    <n v="3"/>
    <n v="2"/>
    <n v="2"/>
    <n v="2"/>
    <n v="2"/>
  </r>
  <r>
    <x v="1"/>
    <s v="Travel_Rarely"/>
    <x v="1"/>
    <s v="Current Employees"/>
    <x v="1"/>
    <x v="4"/>
    <x v="1325"/>
    <n v="1465"/>
    <x v="1"/>
    <x v="3"/>
    <x v="1"/>
    <s v="Yes"/>
    <s v="Y"/>
    <n v="4"/>
    <n v="-2"/>
    <n v="0"/>
    <x v="28"/>
    <x v="1"/>
    <x v="1"/>
    <n v="0"/>
    <n v="1"/>
    <n v="1448"/>
    <n v="29"/>
    <x v="3"/>
    <x v="0"/>
    <n v="4"/>
    <n v="55"/>
    <n v="3"/>
    <n v="3"/>
    <n v="4"/>
    <x v="1224"/>
    <n v="14720"/>
    <n v="4"/>
    <n v="18"/>
    <n v="3"/>
    <n v="4"/>
    <n v="80"/>
    <n v="2"/>
    <n v="10"/>
    <n v="4"/>
    <n v="3"/>
    <n v="1"/>
    <n v="1"/>
    <n v="2"/>
  </r>
  <r>
    <x v="1"/>
    <s v="Travel_Rarely"/>
    <x v="2"/>
    <s v="Current Employees"/>
    <x v="1"/>
    <x v="2"/>
    <x v="1326"/>
    <n v="1755"/>
    <x v="1"/>
    <x v="1"/>
    <x v="1"/>
    <s v="Yes"/>
    <s v="Y"/>
    <n v="3"/>
    <n v="-2"/>
    <n v="0"/>
    <x v="13"/>
    <x v="1"/>
    <x v="1"/>
    <n v="0"/>
    <n v="1"/>
    <n v="181"/>
    <n v="2"/>
    <x v="2"/>
    <x v="0"/>
    <n v="4"/>
    <n v="97"/>
    <n v="4"/>
    <n v="1"/>
    <n v="4"/>
    <x v="1225"/>
    <n v="5586"/>
    <n v="0"/>
    <n v="14"/>
    <n v="3"/>
    <n v="1"/>
    <n v="80"/>
    <n v="3"/>
    <n v="6"/>
    <n v="3"/>
    <n v="5"/>
    <n v="0"/>
    <n v="1"/>
    <n v="2"/>
  </r>
  <r>
    <x v="1"/>
    <s v="Travel_Rarely"/>
    <x v="2"/>
    <s v="Current Employees"/>
    <x v="1"/>
    <x v="2"/>
    <x v="1327"/>
    <n v="1586"/>
    <x v="1"/>
    <x v="2"/>
    <x v="0"/>
    <s v="Yes"/>
    <s v="Y"/>
    <n v="3"/>
    <n v="-2"/>
    <n v="0"/>
    <x v="11"/>
    <x v="1"/>
    <x v="1"/>
    <n v="0"/>
    <n v="1"/>
    <n v="1370"/>
    <n v="3"/>
    <x v="1"/>
    <x v="0"/>
    <n v="2"/>
    <n v="87"/>
    <n v="3"/>
    <n v="1"/>
    <n v="1"/>
    <x v="1226"/>
    <n v="16213"/>
    <n v="1"/>
    <n v="18"/>
    <n v="3"/>
    <n v="4"/>
    <n v="80"/>
    <n v="0"/>
    <n v="10"/>
    <n v="3"/>
    <n v="10"/>
    <n v="9"/>
    <n v="1"/>
    <n v="5"/>
  </r>
  <r>
    <x v="1"/>
    <s v="Travel_Rarely"/>
    <x v="0"/>
    <s v="Current Employees"/>
    <x v="1"/>
    <x v="2"/>
    <x v="1328"/>
    <n v="2020"/>
    <x v="1"/>
    <x v="1"/>
    <x v="0"/>
    <s v="Yes"/>
    <s v="Y"/>
    <n v="2"/>
    <n v="-2"/>
    <n v="0"/>
    <x v="20"/>
    <x v="1"/>
    <x v="1"/>
    <n v="0"/>
    <n v="1"/>
    <n v="1037"/>
    <n v="1"/>
    <x v="3"/>
    <x v="0"/>
    <n v="2"/>
    <n v="42"/>
    <n v="3"/>
    <n v="1"/>
    <n v="4"/>
    <x v="230"/>
    <n v="13422"/>
    <n v="6"/>
    <n v="12"/>
    <n v="3"/>
    <n v="3"/>
    <n v="80"/>
    <n v="0"/>
    <n v="6"/>
    <n v="3"/>
    <n v="4"/>
    <n v="3"/>
    <n v="1"/>
    <n v="2"/>
  </r>
  <r>
    <x v="1"/>
    <s v="Travel_Rarely"/>
    <x v="2"/>
    <s v="Current Employees"/>
    <x v="1"/>
    <x v="0"/>
    <x v="1329"/>
    <n v="1515"/>
    <x v="1"/>
    <x v="4"/>
    <x v="0"/>
    <s v="Yes"/>
    <s v="Y"/>
    <n v="6"/>
    <n v="-2"/>
    <n v="0"/>
    <x v="3"/>
    <x v="1"/>
    <x v="1"/>
    <n v="0"/>
    <n v="1"/>
    <n v="516"/>
    <n v="8"/>
    <x v="4"/>
    <x v="0"/>
    <n v="4"/>
    <n v="69"/>
    <n v="3"/>
    <n v="2"/>
    <n v="3"/>
    <x v="1227"/>
    <n v="22049"/>
    <n v="2"/>
    <n v="17"/>
    <n v="3"/>
    <n v="1"/>
    <n v="80"/>
    <n v="0"/>
    <n v="14"/>
    <n v="3"/>
    <n v="0"/>
    <n v="0"/>
    <n v="0"/>
    <n v="0"/>
  </r>
  <r>
    <x v="1"/>
    <s v="Travel_Rarely"/>
    <x v="2"/>
    <s v="Current Employees"/>
    <x v="0"/>
    <x v="2"/>
    <x v="1330"/>
    <n v="1669"/>
    <x v="1"/>
    <x v="0"/>
    <x v="2"/>
    <s v="Yes"/>
    <s v="Y"/>
    <n v="3"/>
    <n v="-2"/>
    <n v="0"/>
    <x v="11"/>
    <x v="1"/>
    <x v="1"/>
    <n v="0"/>
    <n v="1"/>
    <n v="991"/>
    <n v="5"/>
    <x v="3"/>
    <x v="0"/>
    <n v="1"/>
    <n v="43"/>
    <n v="2"/>
    <n v="2"/>
    <n v="2"/>
    <x v="1228"/>
    <n v="3356"/>
    <n v="1"/>
    <n v="13"/>
    <n v="3"/>
    <n v="2"/>
    <n v="80"/>
    <n v="1"/>
    <n v="10"/>
    <n v="2"/>
    <n v="10"/>
    <n v="0"/>
    <n v="0"/>
    <n v="9"/>
  </r>
  <r>
    <x v="1"/>
    <s v="Travel_Rarely"/>
    <x v="1"/>
    <s v="Current Employees"/>
    <x v="0"/>
    <x v="0"/>
    <x v="1331"/>
    <n v="1732"/>
    <x v="1"/>
    <x v="0"/>
    <x v="2"/>
    <s v="Yes"/>
    <s v="Y"/>
    <n v="5"/>
    <n v="-2"/>
    <n v="0"/>
    <x v="21"/>
    <x v="1"/>
    <x v="1"/>
    <n v="0"/>
    <n v="1"/>
    <n v="1277"/>
    <n v="2"/>
    <x v="3"/>
    <x v="0"/>
    <n v="3"/>
    <n v="74"/>
    <n v="3"/>
    <n v="3"/>
    <n v="4"/>
    <x v="1229"/>
    <n v="5596"/>
    <n v="4"/>
    <n v="12"/>
    <n v="3"/>
    <n v="2"/>
    <n v="80"/>
    <n v="1"/>
    <n v="13"/>
    <n v="2"/>
    <n v="10"/>
    <n v="6"/>
    <n v="0"/>
    <n v="3"/>
  </r>
  <r>
    <x v="1"/>
    <s v="Travel_Rarely"/>
    <x v="0"/>
    <s v="Current Employees"/>
    <x v="0"/>
    <x v="3"/>
    <x v="1332"/>
    <n v="1943"/>
    <x v="1"/>
    <x v="0"/>
    <x v="2"/>
    <s v="Yes"/>
    <s v="Y"/>
    <n v="4"/>
    <n v="-2"/>
    <n v="0"/>
    <x v="19"/>
    <x v="1"/>
    <x v="1"/>
    <n v="0"/>
    <n v="1"/>
    <n v="419"/>
    <n v="12"/>
    <x v="2"/>
    <x v="0"/>
    <n v="2"/>
    <n v="77"/>
    <n v="3"/>
    <n v="2"/>
    <n v="1"/>
    <x v="1230"/>
    <n v="2900"/>
    <n v="3"/>
    <n v="12"/>
    <n v="3"/>
    <n v="3"/>
    <n v="80"/>
    <n v="2"/>
    <n v="14"/>
    <n v="3"/>
    <n v="0"/>
    <n v="0"/>
    <n v="0"/>
    <n v="0"/>
  </r>
  <r>
    <x v="1"/>
    <s v="Travel_Rarely"/>
    <x v="2"/>
    <s v="Current Employees"/>
    <x v="0"/>
    <x v="4"/>
    <x v="1333"/>
    <n v="1535"/>
    <x v="1"/>
    <x v="0"/>
    <x v="1"/>
    <s v="Yes"/>
    <s v="Y"/>
    <n v="3"/>
    <n v="-2"/>
    <n v="0"/>
    <x v="13"/>
    <x v="1"/>
    <x v="1"/>
    <n v="0"/>
    <n v="1"/>
    <n v="971"/>
    <n v="1"/>
    <x v="3"/>
    <x v="0"/>
    <n v="4"/>
    <n v="64"/>
    <n v="2"/>
    <n v="3"/>
    <n v="4"/>
    <x v="1231"/>
    <n v="12288"/>
    <n v="1"/>
    <n v="14"/>
    <n v="3"/>
    <n v="4"/>
    <n v="80"/>
    <n v="0"/>
    <n v="10"/>
    <n v="3"/>
    <n v="10"/>
    <n v="9"/>
    <n v="8"/>
    <n v="6"/>
  </r>
  <r>
    <x v="1"/>
    <s v="Travel_Rarely"/>
    <x v="1"/>
    <s v="Current Employees"/>
    <x v="0"/>
    <x v="3"/>
    <x v="1334"/>
    <n v="1591"/>
    <x v="1"/>
    <x v="5"/>
    <x v="1"/>
    <s v="Yes"/>
    <s v="Y"/>
    <n v="2"/>
    <n v="-2"/>
    <n v="0"/>
    <x v="24"/>
    <x v="1"/>
    <x v="1"/>
    <n v="0"/>
    <n v="1"/>
    <n v="264"/>
    <n v="9"/>
    <x v="3"/>
    <x v="0"/>
    <n v="3"/>
    <n v="59"/>
    <n v="3"/>
    <n v="5"/>
    <n v="1"/>
    <x v="1232"/>
    <n v="19519"/>
    <n v="4"/>
    <n v="16"/>
    <n v="3"/>
    <n v="3"/>
    <n v="80"/>
    <n v="1"/>
    <n v="27"/>
    <n v="3"/>
    <n v="1"/>
    <n v="0"/>
    <n v="0"/>
    <n v="0"/>
  </r>
  <r>
    <x v="1"/>
    <s v="Travel_Rarely"/>
    <x v="0"/>
    <s v="Current Employees"/>
    <x v="0"/>
    <x v="2"/>
    <x v="1335"/>
    <n v="1706"/>
    <x v="1"/>
    <x v="0"/>
    <x v="1"/>
    <s v="Yes"/>
    <s v="Y"/>
    <n v="3"/>
    <n v="-2"/>
    <n v="0"/>
    <x v="23"/>
    <x v="1"/>
    <x v="1"/>
    <n v="0"/>
    <n v="1"/>
    <n v="1179"/>
    <n v="2"/>
    <x v="3"/>
    <x v="0"/>
    <n v="4"/>
    <n v="73"/>
    <n v="3"/>
    <n v="2"/>
    <n v="4"/>
    <x v="1233"/>
    <n v="6069"/>
    <n v="1"/>
    <n v="17"/>
    <n v="3"/>
    <n v="1"/>
    <n v="80"/>
    <n v="1"/>
    <n v="10"/>
    <n v="3"/>
    <n v="10"/>
    <n v="9"/>
    <n v="8"/>
    <n v="8"/>
  </r>
  <r>
    <x v="1"/>
    <s v="Travel_Rarely"/>
    <x v="2"/>
    <s v="Current Employees"/>
    <x v="0"/>
    <x v="0"/>
    <x v="1336"/>
    <n v="1882"/>
    <x v="1"/>
    <x v="0"/>
    <x v="1"/>
    <s v="Yes"/>
    <s v="Y"/>
    <n v="3"/>
    <n v="-2"/>
    <n v="0"/>
    <x v="13"/>
    <x v="1"/>
    <x v="1"/>
    <n v="0"/>
    <n v="1"/>
    <n v="1480"/>
    <n v="4"/>
    <x v="3"/>
    <x v="0"/>
    <n v="3"/>
    <n v="64"/>
    <n v="3"/>
    <n v="3"/>
    <n v="4"/>
    <x v="1234"/>
    <n v="24444"/>
    <n v="2"/>
    <n v="13"/>
    <n v="3"/>
    <n v="4"/>
    <n v="80"/>
    <n v="3"/>
    <n v="9"/>
    <n v="3"/>
    <n v="5"/>
    <n v="3"/>
    <n v="1"/>
    <n v="0"/>
  </r>
  <r>
    <x v="1"/>
    <s v="Travel_Rarely"/>
    <x v="4"/>
    <s v="Current Employees"/>
    <x v="0"/>
    <x v="2"/>
    <x v="1337"/>
    <n v="2021"/>
    <x v="1"/>
    <x v="6"/>
    <x v="0"/>
    <s v="Yes"/>
    <s v="Y"/>
    <n v="6"/>
    <n v="-2"/>
    <n v="0"/>
    <x v="18"/>
    <x v="1"/>
    <x v="1"/>
    <n v="0"/>
    <n v="1"/>
    <n v="501"/>
    <n v="5"/>
    <x v="1"/>
    <x v="0"/>
    <n v="3"/>
    <n v="58"/>
    <n v="3"/>
    <n v="1"/>
    <n v="1"/>
    <x v="631"/>
    <n v="25479"/>
    <n v="1"/>
    <n v="11"/>
    <n v="3"/>
    <n v="4"/>
    <n v="80"/>
    <n v="0"/>
    <n v="2"/>
    <n v="3"/>
    <n v="2"/>
    <n v="2"/>
    <n v="1"/>
    <n v="2"/>
  </r>
  <r>
    <x v="1"/>
    <s v="Travel_Rarely"/>
    <x v="0"/>
    <s v="Current Employees"/>
    <x v="0"/>
    <x v="0"/>
    <x v="1338"/>
    <n v="1678"/>
    <x v="1"/>
    <x v="0"/>
    <x v="0"/>
    <s v="Yes"/>
    <s v="Y"/>
    <n v="2"/>
    <n v="-2"/>
    <n v="0"/>
    <x v="0"/>
    <x v="1"/>
    <x v="1"/>
    <n v="0"/>
    <n v="1"/>
    <n v="1206"/>
    <n v="23"/>
    <x v="0"/>
    <x v="0"/>
    <n v="4"/>
    <n v="80"/>
    <n v="3"/>
    <n v="3"/>
    <n v="3"/>
    <x v="1235"/>
    <n v="11591"/>
    <n v="3"/>
    <n v="16"/>
    <n v="3"/>
    <n v="4"/>
    <n v="80"/>
    <n v="0"/>
    <n v="21"/>
    <n v="3"/>
    <n v="2"/>
    <n v="0"/>
    <n v="0"/>
    <n v="2"/>
  </r>
  <r>
    <x v="1"/>
    <s v="Non-Travel"/>
    <x v="2"/>
    <s v="Current Employees"/>
    <x v="1"/>
    <x v="2"/>
    <x v="1339"/>
    <n v="1979"/>
    <x v="0"/>
    <x v="7"/>
    <x v="1"/>
    <s v="No"/>
    <s v="Y"/>
    <n v="2"/>
    <n v="-2"/>
    <n v="0"/>
    <x v="12"/>
    <x v="1"/>
    <x v="1"/>
    <n v="0"/>
    <n v="1"/>
    <n v="697"/>
    <n v="10"/>
    <x v="3"/>
    <x v="0"/>
    <n v="3"/>
    <n v="40"/>
    <n v="3"/>
    <n v="3"/>
    <n v="3"/>
    <x v="1236"/>
    <n v="26862"/>
    <n v="4"/>
    <n v="20"/>
    <n v="4"/>
    <n v="3"/>
    <n v="80"/>
    <n v="1"/>
    <n v="13"/>
    <n v="4"/>
    <n v="11"/>
    <n v="7"/>
    <n v="4"/>
    <n v="8"/>
  </r>
  <r>
    <x v="1"/>
    <s v="Non-Travel"/>
    <x v="1"/>
    <s v="Current Employees"/>
    <x v="0"/>
    <x v="0"/>
    <x v="1340"/>
    <n v="1845"/>
    <x v="0"/>
    <x v="0"/>
    <x v="1"/>
    <s v="No"/>
    <s v="Y"/>
    <n v="3"/>
    <n v="-2"/>
    <n v="0"/>
    <x v="28"/>
    <x v="1"/>
    <x v="1"/>
    <n v="0"/>
    <n v="1"/>
    <n v="589"/>
    <n v="2"/>
    <x v="2"/>
    <x v="0"/>
    <n v="3"/>
    <n v="67"/>
    <n v="3"/>
    <n v="2"/>
    <n v="3"/>
    <x v="1237"/>
    <n v="19665"/>
    <n v="4"/>
    <n v="22"/>
    <n v="4"/>
    <n v="2"/>
    <n v="80"/>
    <n v="2"/>
    <n v="10"/>
    <n v="4"/>
    <n v="8"/>
    <n v="7"/>
    <n v="5"/>
    <n v="7"/>
  </r>
  <r>
    <x v="1"/>
    <s v="Travel_Frequently"/>
    <x v="1"/>
    <s v="Current Employees"/>
    <x v="1"/>
    <x v="2"/>
    <x v="1341"/>
    <n v="1520"/>
    <x v="0"/>
    <x v="5"/>
    <x v="2"/>
    <s v="No"/>
    <s v="Y"/>
    <n v="2"/>
    <n v="-2"/>
    <n v="0"/>
    <x v="33"/>
    <x v="1"/>
    <x v="1"/>
    <n v="0"/>
    <n v="1"/>
    <n v="1050"/>
    <n v="11"/>
    <x v="2"/>
    <x v="0"/>
    <n v="2"/>
    <n v="87"/>
    <n v="3"/>
    <n v="4"/>
    <n v="4"/>
    <x v="1238"/>
    <n v="24456"/>
    <n v="3"/>
    <n v="20"/>
    <n v="4"/>
    <n v="1"/>
    <n v="80"/>
    <n v="1"/>
    <n v="26"/>
    <n v="3"/>
    <n v="14"/>
    <n v="9"/>
    <n v="1"/>
    <n v="12"/>
  </r>
  <r>
    <x v="1"/>
    <s v="Travel_Frequently"/>
    <x v="0"/>
    <s v="Current Employees"/>
    <x v="1"/>
    <x v="2"/>
    <x v="1342"/>
    <n v="1675"/>
    <x v="0"/>
    <x v="2"/>
    <x v="0"/>
    <s v="No"/>
    <s v="Y"/>
    <n v="3"/>
    <n v="-2"/>
    <n v="0"/>
    <x v="8"/>
    <x v="1"/>
    <x v="1"/>
    <n v="0"/>
    <n v="1"/>
    <n v="148"/>
    <n v="2"/>
    <x v="3"/>
    <x v="0"/>
    <n v="4"/>
    <n v="42"/>
    <n v="2"/>
    <n v="1"/>
    <n v="2"/>
    <x v="1239"/>
    <n v="23826"/>
    <n v="1"/>
    <n v="22"/>
    <n v="4"/>
    <n v="2"/>
    <n v="80"/>
    <n v="0"/>
    <n v="4"/>
    <n v="3"/>
    <n v="4"/>
    <n v="3"/>
    <n v="3"/>
    <n v="3"/>
  </r>
  <r>
    <x v="1"/>
    <s v="Travel_Frequently"/>
    <x v="2"/>
    <s v="Current Employees"/>
    <x v="1"/>
    <x v="4"/>
    <x v="1343"/>
    <n v="1736"/>
    <x v="0"/>
    <x v="3"/>
    <x v="0"/>
    <s v="No"/>
    <s v="Y"/>
    <n v="3"/>
    <n v="-2"/>
    <n v="0"/>
    <x v="12"/>
    <x v="1"/>
    <x v="1"/>
    <n v="0"/>
    <n v="1"/>
    <n v="163"/>
    <n v="24"/>
    <x v="1"/>
    <x v="0"/>
    <n v="4"/>
    <n v="30"/>
    <n v="3"/>
    <n v="2"/>
    <n v="4"/>
    <x v="319"/>
    <n v="6670"/>
    <n v="2"/>
    <n v="20"/>
    <n v="4"/>
    <n v="4"/>
    <n v="80"/>
    <n v="0"/>
    <n v="9"/>
    <n v="2"/>
    <n v="5"/>
    <n v="4"/>
    <n v="1"/>
    <n v="4"/>
  </r>
  <r>
    <x v="1"/>
    <s v="Travel_Rarely"/>
    <x v="1"/>
    <s v="Current Employees"/>
    <x v="2"/>
    <x v="0"/>
    <x v="1344"/>
    <n v="1744"/>
    <x v="0"/>
    <x v="8"/>
    <x v="1"/>
    <s v="No"/>
    <s v="Y"/>
    <n v="2"/>
    <n v="-2"/>
    <n v="0"/>
    <x v="28"/>
    <x v="1"/>
    <x v="1"/>
    <n v="0"/>
    <n v="1"/>
    <n v="176"/>
    <n v="4"/>
    <x v="3"/>
    <x v="0"/>
    <n v="3"/>
    <n v="56"/>
    <n v="1"/>
    <n v="3"/>
    <n v="3"/>
    <x v="1240"/>
    <n v="6595"/>
    <n v="4"/>
    <n v="21"/>
    <n v="4"/>
    <n v="3"/>
    <n v="80"/>
    <n v="2"/>
    <n v="9"/>
    <n v="4"/>
    <n v="5"/>
    <n v="0"/>
    <n v="0"/>
    <n v="3"/>
  </r>
  <r>
    <x v="1"/>
    <s v="Travel_Rarely"/>
    <x v="2"/>
    <s v="Current Employees"/>
    <x v="1"/>
    <x v="2"/>
    <x v="1345"/>
    <n v="1622"/>
    <x v="0"/>
    <x v="3"/>
    <x v="2"/>
    <s v="No"/>
    <s v="Y"/>
    <n v="5"/>
    <n v="-2"/>
    <n v="0"/>
    <x v="14"/>
    <x v="1"/>
    <x v="1"/>
    <n v="0"/>
    <n v="1"/>
    <n v="580"/>
    <n v="27"/>
    <x v="3"/>
    <x v="0"/>
    <n v="2"/>
    <n v="39"/>
    <n v="1"/>
    <n v="2"/>
    <n v="1"/>
    <x v="1241"/>
    <n v="20460"/>
    <n v="0"/>
    <n v="21"/>
    <n v="4"/>
    <n v="2"/>
    <n v="80"/>
    <n v="1"/>
    <n v="6"/>
    <n v="2"/>
    <n v="5"/>
    <n v="3"/>
    <n v="0"/>
    <n v="0"/>
  </r>
  <r>
    <x v="1"/>
    <s v="Travel_Rarely"/>
    <x v="2"/>
    <s v="Current Employees"/>
    <x v="1"/>
    <x v="0"/>
    <x v="1346"/>
    <n v="1581"/>
    <x v="0"/>
    <x v="1"/>
    <x v="1"/>
    <s v="No"/>
    <s v="Y"/>
    <n v="5"/>
    <n v="-2"/>
    <n v="0"/>
    <x v="25"/>
    <x v="1"/>
    <x v="1"/>
    <n v="0"/>
    <n v="1"/>
    <n v="474"/>
    <n v="3"/>
    <x v="3"/>
    <x v="0"/>
    <n v="1"/>
    <n v="89"/>
    <n v="3"/>
    <n v="1"/>
    <n v="4"/>
    <x v="1242"/>
    <n v="11133"/>
    <n v="1"/>
    <n v="21"/>
    <n v="4"/>
    <n v="1"/>
    <n v="80"/>
    <n v="0"/>
    <n v="1"/>
    <n v="3"/>
    <n v="1"/>
    <n v="0"/>
    <n v="0"/>
    <n v="0"/>
  </r>
  <r>
    <x v="1"/>
    <s v="Travel_Rarely"/>
    <x v="0"/>
    <s v="Current Employees"/>
    <x v="1"/>
    <x v="0"/>
    <x v="1347"/>
    <n v="2034"/>
    <x v="0"/>
    <x v="3"/>
    <x v="1"/>
    <s v="No"/>
    <s v="Y"/>
    <n v="3"/>
    <n v="-2"/>
    <n v="0"/>
    <x v="0"/>
    <x v="1"/>
    <x v="1"/>
    <n v="0"/>
    <n v="1"/>
    <n v="582"/>
    <n v="28"/>
    <x v="2"/>
    <x v="0"/>
    <n v="1"/>
    <n v="60"/>
    <n v="2"/>
    <n v="4"/>
    <n v="2"/>
    <x v="1243"/>
    <n v="5640"/>
    <n v="0"/>
    <n v="23"/>
    <n v="4"/>
    <n v="3"/>
    <n v="80"/>
    <n v="1"/>
    <n v="21"/>
    <n v="3"/>
    <n v="20"/>
    <n v="7"/>
    <n v="0"/>
    <n v="10"/>
  </r>
  <r>
    <x v="1"/>
    <s v="Travel_Rarely"/>
    <x v="3"/>
    <s v="Current Employees"/>
    <x v="1"/>
    <x v="0"/>
    <x v="1348"/>
    <n v="1441"/>
    <x v="0"/>
    <x v="1"/>
    <x v="1"/>
    <s v="No"/>
    <s v="Y"/>
    <n v="3"/>
    <n v="-2"/>
    <n v="0"/>
    <x v="29"/>
    <x v="1"/>
    <x v="1"/>
    <n v="0"/>
    <n v="1"/>
    <n v="1255"/>
    <n v="1"/>
    <x v="0"/>
    <x v="0"/>
    <n v="1"/>
    <n v="90"/>
    <n v="3"/>
    <n v="1"/>
    <n v="1"/>
    <x v="1244"/>
    <n v="10494"/>
    <n v="2"/>
    <n v="22"/>
    <n v="4"/>
    <n v="4"/>
    <n v="80"/>
    <n v="1"/>
    <n v="5"/>
    <n v="4"/>
    <n v="3"/>
    <n v="2"/>
    <n v="1"/>
    <n v="0"/>
  </r>
  <r>
    <x v="1"/>
    <s v="Travel_Rarely"/>
    <x v="1"/>
    <s v="Current Employees"/>
    <x v="1"/>
    <x v="2"/>
    <x v="1349"/>
    <n v="1665"/>
    <x v="0"/>
    <x v="5"/>
    <x v="1"/>
    <s v="No"/>
    <s v="Y"/>
    <n v="6"/>
    <n v="-2"/>
    <n v="0"/>
    <x v="33"/>
    <x v="1"/>
    <x v="1"/>
    <n v="0"/>
    <n v="1"/>
    <n v="584"/>
    <n v="22"/>
    <x v="4"/>
    <x v="0"/>
    <n v="2"/>
    <n v="91"/>
    <n v="3"/>
    <n v="4"/>
    <n v="3"/>
    <x v="1245"/>
    <n v="18685"/>
    <n v="3"/>
    <n v="25"/>
    <n v="4"/>
    <n v="3"/>
    <n v="80"/>
    <n v="1"/>
    <n v="36"/>
    <n v="3"/>
    <n v="10"/>
    <n v="8"/>
    <n v="4"/>
    <n v="7"/>
  </r>
  <r>
    <x v="1"/>
    <s v="Travel_Rarely"/>
    <x v="1"/>
    <s v="Current Employees"/>
    <x v="1"/>
    <x v="2"/>
    <x v="1350"/>
    <n v="1509"/>
    <x v="0"/>
    <x v="2"/>
    <x v="1"/>
    <s v="No"/>
    <s v="Y"/>
    <n v="3"/>
    <n v="-2"/>
    <n v="0"/>
    <x v="1"/>
    <x v="1"/>
    <x v="1"/>
    <n v="0"/>
    <n v="1"/>
    <n v="271"/>
    <n v="3"/>
    <x v="0"/>
    <x v="0"/>
    <n v="3"/>
    <n v="43"/>
    <n v="2"/>
    <n v="2"/>
    <n v="1"/>
    <x v="1246"/>
    <n v="23070"/>
    <n v="4"/>
    <n v="25"/>
    <n v="4"/>
    <n v="1"/>
    <n v="80"/>
    <n v="1"/>
    <n v="10"/>
    <n v="3"/>
    <n v="3"/>
    <n v="2"/>
    <n v="1"/>
    <n v="2"/>
  </r>
  <r>
    <x v="1"/>
    <s v="Travel_Rarely"/>
    <x v="2"/>
    <s v="Current Employees"/>
    <x v="1"/>
    <x v="2"/>
    <x v="1351"/>
    <n v="1834"/>
    <x v="0"/>
    <x v="1"/>
    <x v="1"/>
    <s v="No"/>
    <s v="Y"/>
    <n v="3"/>
    <n v="-2"/>
    <n v="0"/>
    <x v="14"/>
    <x v="1"/>
    <x v="1"/>
    <n v="0"/>
    <n v="1"/>
    <n v="1217"/>
    <n v="1"/>
    <x v="3"/>
    <x v="0"/>
    <n v="3"/>
    <n v="67"/>
    <n v="3"/>
    <n v="1"/>
    <n v="1"/>
    <x v="1247"/>
    <n v="12719"/>
    <n v="1"/>
    <n v="25"/>
    <n v="4"/>
    <n v="3"/>
    <n v="80"/>
    <n v="1"/>
    <n v="3"/>
    <n v="3"/>
    <n v="3"/>
    <n v="2"/>
    <n v="1"/>
    <n v="2"/>
  </r>
  <r>
    <x v="1"/>
    <s v="Travel_Rarely"/>
    <x v="2"/>
    <s v="Current Employees"/>
    <x v="0"/>
    <x v="2"/>
    <x v="1352"/>
    <n v="1864"/>
    <x v="0"/>
    <x v="6"/>
    <x v="1"/>
    <s v="No"/>
    <s v="Y"/>
    <n v="5"/>
    <n v="-2"/>
    <n v="0"/>
    <x v="4"/>
    <x v="1"/>
    <x v="1"/>
    <n v="0"/>
    <n v="1"/>
    <n v="728"/>
    <n v="23"/>
    <x v="1"/>
    <x v="0"/>
    <n v="2"/>
    <n v="36"/>
    <n v="2"/>
    <n v="2"/>
    <n v="3"/>
    <x v="1248"/>
    <n v="7018"/>
    <n v="1"/>
    <n v="21"/>
    <n v="4"/>
    <n v="4"/>
    <n v="80"/>
    <n v="1"/>
    <n v="9"/>
    <n v="3"/>
    <n v="9"/>
    <n v="8"/>
    <n v="5"/>
    <n v="8"/>
  </r>
  <r>
    <x v="1"/>
    <s v="Travel_Rarely"/>
    <x v="0"/>
    <s v="Current Employees"/>
    <x v="0"/>
    <x v="3"/>
    <x v="1353"/>
    <n v="1909"/>
    <x v="0"/>
    <x v="0"/>
    <x v="1"/>
    <s v="No"/>
    <s v="Y"/>
    <n v="3"/>
    <n v="-2"/>
    <n v="0"/>
    <x v="0"/>
    <x v="1"/>
    <x v="1"/>
    <n v="0"/>
    <n v="1"/>
    <n v="337"/>
    <n v="8"/>
    <x v="3"/>
    <x v="0"/>
    <n v="3"/>
    <n v="54"/>
    <n v="3"/>
    <n v="2"/>
    <n v="1"/>
    <x v="1249"/>
    <n v="26841"/>
    <n v="5"/>
    <n v="21"/>
    <n v="4"/>
    <n v="3"/>
    <n v="80"/>
    <n v="1"/>
    <n v="14"/>
    <n v="3"/>
    <n v="5"/>
    <n v="4"/>
    <n v="1"/>
    <n v="4"/>
  </r>
  <r>
    <x v="1"/>
    <s v="Travel_Rarely"/>
    <x v="0"/>
    <s v="Current Employees"/>
    <x v="0"/>
    <x v="0"/>
    <x v="1354"/>
    <n v="1554"/>
    <x v="0"/>
    <x v="6"/>
    <x v="1"/>
    <s v="No"/>
    <s v="Y"/>
    <n v="5"/>
    <n v="-2"/>
    <n v="0"/>
    <x v="10"/>
    <x v="1"/>
    <x v="1"/>
    <n v="0"/>
    <n v="1"/>
    <n v="1402"/>
    <n v="28"/>
    <x v="2"/>
    <x v="0"/>
    <n v="2"/>
    <n v="98"/>
    <n v="2"/>
    <n v="1"/>
    <n v="3"/>
    <x v="1250"/>
    <n v="26204"/>
    <n v="0"/>
    <n v="23"/>
    <n v="4"/>
    <n v="1"/>
    <n v="80"/>
    <n v="2"/>
    <n v="6"/>
    <n v="3"/>
    <n v="5"/>
    <n v="3"/>
    <n v="4"/>
    <n v="2"/>
  </r>
  <r>
    <x v="1"/>
    <s v="Travel_Rarely"/>
    <x v="2"/>
    <s v="Current Employees"/>
    <x v="0"/>
    <x v="3"/>
    <x v="1355"/>
    <n v="2035"/>
    <x v="0"/>
    <x v="0"/>
    <x v="1"/>
    <s v="No"/>
    <s v="Y"/>
    <n v="2"/>
    <n v="-2"/>
    <n v="0"/>
    <x v="13"/>
    <x v="1"/>
    <x v="1"/>
    <n v="0"/>
    <n v="1"/>
    <n v="704"/>
    <n v="28"/>
    <x v="3"/>
    <x v="0"/>
    <n v="4"/>
    <n v="95"/>
    <n v="2"/>
    <n v="2"/>
    <n v="1"/>
    <x v="1251"/>
    <n v="8978"/>
    <n v="1"/>
    <n v="21"/>
    <n v="4"/>
    <n v="4"/>
    <n v="80"/>
    <n v="2"/>
    <n v="8"/>
    <n v="3"/>
    <n v="8"/>
    <n v="7"/>
    <n v="1"/>
    <n v="7"/>
  </r>
  <r>
    <x v="1"/>
    <s v="Non-Travel"/>
    <x v="3"/>
    <s v="Current Employees"/>
    <x v="1"/>
    <x v="0"/>
    <x v="1356"/>
    <n v="2026"/>
    <x v="1"/>
    <x v="4"/>
    <x v="2"/>
    <s v="No"/>
    <s v="Y"/>
    <n v="2"/>
    <n v="-2"/>
    <n v="0"/>
    <x v="29"/>
    <x v="1"/>
    <x v="1"/>
    <n v="0"/>
    <n v="1"/>
    <n v="667"/>
    <n v="1"/>
    <x v="2"/>
    <x v="0"/>
    <n v="3"/>
    <n v="57"/>
    <n v="3"/>
    <n v="2"/>
    <n v="3"/>
    <x v="1252"/>
    <n v="26236"/>
    <n v="1"/>
    <n v="21"/>
    <n v="4"/>
    <n v="1"/>
    <n v="80"/>
    <n v="1"/>
    <n v="13"/>
    <n v="2"/>
    <n v="13"/>
    <n v="12"/>
    <n v="1"/>
    <n v="9"/>
  </r>
  <r>
    <x v="1"/>
    <s v="Non-Travel"/>
    <x v="0"/>
    <s v="Current Employees"/>
    <x v="1"/>
    <x v="0"/>
    <x v="1357"/>
    <n v="1949"/>
    <x v="1"/>
    <x v="2"/>
    <x v="1"/>
    <s v="No"/>
    <s v="Y"/>
    <n v="3"/>
    <n v="-2"/>
    <n v="0"/>
    <x v="9"/>
    <x v="1"/>
    <x v="1"/>
    <n v="0"/>
    <n v="1"/>
    <n v="1351"/>
    <n v="9"/>
    <x v="2"/>
    <x v="0"/>
    <n v="1"/>
    <n v="66"/>
    <n v="4"/>
    <n v="1"/>
    <n v="2"/>
    <x v="1253"/>
    <n v="9238"/>
    <n v="1"/>
    <n v="22"/>
    <n v="4"/>
    <n v="2"/>
    <n v="80"/>
    <n v="0"/>
    <n v="5"/>
    <n v="3"/>
    <n v="5"/>
    <n v="4"/>
    <n v="0"/>
    <n v="2"/>
  </r>
  <r>
    <x v="1"/>
    <s v="Non-Travel"/>
    <x v="1"/>
    <s v="Current Employees"/>
    <x v="1"/>
    <x v="0"/>
    <x v="1358"/>
    <n v="1712"/>
    <x v="1"/>
    <x v="4"/>
    <x v="1"/>
    <s v="No"/>
    <s v="Y"/>
    <n v="3"/>
    <n v="-2"/>
    <n v="0"/>
    <x v="28"/>
    <x v="1"/>
    <x v="1"/>
    <n v="0"/>
    <n v="1"/>
    <n v="1238"/>
    <n v="1"/>
    <x v="1"/>
    <x v="0"/>
    <n v="3"/>
    <n v="74"/>
    <n v="2"/>
    <n v="3"/>
    <n v="3"/>
    <x v="1254"/>
    <n v="3395"/>
    <n v="3"/>
    <n v="23"/>
    <n v="4"/>
    <n v="4"/>
    <n v="80"/>
    <n v="1"/>
    <n v="25"/>
    <n v="2"/>
    <n v="23"/>
    <n v="15"/>
    <n v="14"/>
    <n v="4"/>
  </r>
  <r>
    <x v="1"/>
    <s v="Non-Travel"/>
    <x v="0"/>
    <s v="Current Employees"/>
    <x v="1"/>
    <x v="4"/>
    <x v="1359"/>
    <n v="1854"/>
    <x v="1"/>
    <x v="1"/>
    <x v="1"/>
    <s v="No"/>
    <s v="Y"/>
    <n v="1"/>
    <n v="-2"/>
    <n v="0"/>
    <x v="19"/>
    <x v="1"/>
    <x v="1"/>
    <n v="0"/>
    <n v="1"/>
    <n v="355"/>
    <n v="10"/>
    <x v="2"/>
    <x v="0"/>
    <n v="4"/>
    <n v="38"/>
    <n v="3"/>
    <n v="1"/>
    <n v="4"/>
    <x v="808"/>
    <n v="6161"/>
    <n v="3"/>
    <n v="22"/>
    <n v="4"/>
    <n v="2"/>
    <n v="80"/>
    <n v="2"/>
    <n v="10"/>
    <n v="2"/>
    <n v="6"/>
    <n v="3"/>
    <n v="3"/>
    <n v="3"/>
  </r>
  <r>
    <x v="1"/>
    <s v="Non-Travel"/>
    <x v="2"/>
    <s v="Current Employees"/>
    <x v="1"/>
    <x v="2"/>
    <x v="1360"/>
    <n v="1693"/>
    <x v="1"/>
    <x v="2"/>
    <x v="0"/>
    <s v="No"/>
    <s v="Y"/>
    <n v="5"/>
    <n v="-2"/>
    <n v="0"/>
    <x v="25"/>
    <x v="1"/>
    <x v="1"/>
    <n v="0"/>
    <n v="1"/>
    <n v="786"/>
    <n v="7"/>
    <x v="3"/>
    <x v="0"/>
    <n v="4"/>
    <n v="76"/>
    <n v="3"/>
    <n v="1"/>
    <n v="4"/>
    <x v="1255"/>
    <n v="11925"/>
    <n v="1"/>
    <n v="20"/>
    <n v="4"/>
    <n v="3"/>
    <n v="80"/>
    <n v="0"/>
    <n v="7"/>
    <n v="3"/>
    <n v="7"/>
    <n v="7"/>
    <n v="5"/>
    <n v="7"/>
  </r>
  <r>
    <x v="1"/>
    <s v="Non-Travel"/>
    <x v="3"/>
    <s v="Current Employees"/>
    <x v="0"/>
    <x v="2"/>
    <x v="1361"/>
    <n v="1824"/>
    <x v="1"/>
    <x v="5"/>
    <x v="2"/>
    <s v="No"/>
    <s v="Y"/>
    <n v="0"/>
    <n v="-2"/>
    <n v="0"/>
    <x v="34"/>
    <x v="1"/>
    <x v="1"/>
    <n v="0"/>
    <n v="1"/>
    <n v="350"/>
    <n v="2"/>
    <x v="3"/>
    <x v="0"/>
    <n v="2"/>
    <n v="52"/>
    <n v="3"/>
    <n v="4"/>
    <n v="2"/>
    <x v="1256"/>
    <n v="22577"/>
    <n v="4"/>
    <n v="22"/>
    <n v="4"/>
    <n v="4"/>
    <n v="80"/>
    <n v="1"/>
    <n v="37"/>
    <n v="2"/>
    <n v="16"/>
    <n v="9"/>
    <n v="14"/>
    <n v="14"/>
  </r>
  <r>
    <x v="1"/>
    <s v="Non-Travel"/>
    <x v="0"/>
    <s v="Current Employees"/>
    <x v="0"/>
    <x v="3"/>
    <x v="1362"/>
    <n v="2036"/>
    <x v="1"/>
    <x v="0"/>
    <x v="2"/>
    <s v="No"/>
    <s v="Y"/>
    <n v="4"/>
    <n v="-2"/>
    <n v="0"/>
    <x v="9"/>
    <x v="1"/>
    <x v="1"/>
    <n v="0"/>
    <n v="1"/>
    <n v="301"/>
    <n v="15"/>
    <x v="2"/>
    <x v="0"/>
    <n v="4"/>
    <n v="88"/>
    <n v="1"/>
    <n v="2"/>
    <n v="1"/>
    <x v="1257"/>
    <n v="10436"/>
    <n v="1"/>
    <n v="24"/>
    <n v="4"/>
    <n v="1"/>
    <n v="80"/>
    <n v="1"/>
    <n v="15"/>
    <n v="2"/>
    <n v="15"/>
    <n v="12"/>
    <n v="11"/>
    <n v="11"/>
  </r>
  <r>
    <x v="1"/>
    <s v="Travel_Frequently"/>
    <x v="0"/>
    <s v="Current Employees"/>
    <x v="2"/>
    <x v="5"/>
    <x v="1363"/>
    <n v="1890"/>
    <x v="1"/>
    <x v="8"/>
    <x v="0"/>
    <s v="No"/>
    <s v="Y"/>
    <n v="2"/>
    <n v="-2"/>
    <n v="0"/>
    <x v="9"/>
    <x v="1"/>
    <x v="1"/>
    <n v="0"/>
    <n v="1"/>
    <n v="1213"/>
    <n v="2"/>
    <x v="1"/>
    <x v="0"/>
    <n v="2"/>
    <n v="94"/>
    <n v="2"/>
    <n v="2"/>
    <n v="4"/>
    <x v="1258"/>
    <n v="4223"/>
    <n v="1"/>
    <n v="21"/>
    <n v="4"/>
    <n v="4"/>
    <n v="80"/>
    <n v="0"/>
    <n v="10"/>
    <n v="2"/>
    <n v="10"/>
    <n v="1"/>
    <n v="0"/>
    <n v="8"/>
  </r>
  <r>
    <x v="1"/>
    <s v="Travel_Frequently"/>
    <x v="2"/>
    <s v="Current Employees"/>
    <x v="1"/>
    <x v="0"/>
    <x v="1364"/>
    <n v="1970"/>
    <x v="1"/>
    <x v="4"/>
    <x v="2"/>
    <s v="No"/>
    <s v="Y"/>
    <n v="2"/>
    <n v="-2"/>
    <n v="0"/>
    <x v="3"/>
    <x v="1"/>
    <x v="1"/>
    <n v="0"/>
    <n v="1"/>
    <n v="1303"/>
    <n v="7"/>
    <x v="0"/>
    <x v="0"/>
    <n v="4"/>
    <n v="36"/>
    <n v="3"/>
    <n v="2"/>
    <n v="3"/>
    <x v="1259"/>
    <n v="18079"/>
    <n v="1"/>
    <n v="20"/>
    <n v="4"/>
    <n v="3"/>
    <n v="80"/>
    <n v="3"/>
    <n v="9"/>
    <n v="3"/>
    <n v="9"/>
    <n v="7"/>
    <n v="2"/>
    <n v="8"/>
  </r>
  <r>
    <x v="1"/>
    <s v="Travel_Frequently"/>
    <x v="2"/>
    <s v="Current Employees"/>
    <x v="1"/>
    <x v="0"/>
    <x v="1365"/>
    <n v="1956"/>
    <x v="1"/>
    <x v="1"/>
    <x v="1"/>
    <s v="No"/>
    <s v="Y"/>
    <n v="6"/>
    <n v="-2"/>
    <n v="0"/>
    <x v="12"/>
    <x v="1"/>
    <x v="1"/>
    <n v="0"/>
    <n v="1"/>
    <n v="1125"/>
    <n v="1"/>
    <x v="3"/>
    <x v="0"/>
    <n v="4"/>
    <n v="48"/>
    <n v="1"/>
    <n v="2"/>
    <n v="1"/>
    <x v="701"/>
    <n v="5771"/>
    <n v="1"/>
    <n v="21"/>
    <n v="4"/>
    <n v="2"/>
    <n v="80"/>
    <n v="0"/>
    <n v="10"/>
    <n v="3"/>
    <n v="10"/>
    <n v="8"/>
    <n v="8"/>
    <n v="7"/>
  </r>
  <r>
    <x v="1"/>
    <s v="Travel_Frequently"/>
    <x v="1"/>
    <s v="Current Employees"/>
    <x v="1"/>
    <x v="2"/>
    <x v="1366"/>
    <n v="1644"/>
    <x v="1"/>
    <x v="5"/>
    <x v="1"/>
    <s v="No"/>
    <s v="Y"/>
    <n v="3"/>
    <n v="-2"/>
    <n v="0"/>
    <x v="26"/>
    <x v="1"/>
    <x v="1"/>
    <n v="0"/>
    <n v="1"/>
    <n v="365"/>
    <n v="4"/>
    <x v="4"/>
    <x v="0"/>
    <n v="3"/>
    <n v="89"/>
    <n v="2"/>
    <n v="4"/>
    <n v="4"/>
    <x v="1260"/>
    <n v="5602"/>
    <n v="2"/>
    <n v="25"/>
    <n v="4"/>
    <n v="2"/>
    <n v="80"/>
    <n v="1"/>
    <n v="23"/>
    <n v="3"/>
    <n v="2"/>
    <n v="2"/>
    <n v="2"/>
    <n v="2"/>
  </r>
  <r>
    <x v="1"/>
    <s v="Travel_Frequently"/>
    <x v="0"/>
    <s v="Current Employees"/>
    <x v="0"/>
    <x v="0"/>
    <x v="1367"/>
    <n v="1849"/>
    <x v="1"/>
    <x v="0"/>
    <x v="1"/>
    <s v="No"/>
    <s v="Y"/>
    <n v="5"/>
    <n v="-2"/>
    <n v="0"/>
    <x v="23"/>
    <x v="1"/>
    <x v="1"/>
    <n v="0"/>
    <n v="1"/>
    <n v="1422"/>
    <n v="2"/>
    <x v="2"/>
    <x v="0"/>
    <n v="1"/>
    <n v="92"/>
    <n v="3"/>
    <n v="2"/>
    <n v="4"/>
    <x v="1261"/>
    <n v="19246"/>
    <n v="1"/>
    <n v="20"/>
    <n v="4"/>
    <n v="3"/>
    <n v="80"/>
    <n v="1"/>
    <n v="7"/>
    <n v="3"/>
    <n v="7"/>
    <n v="7"/>
    <n v="7"/>
    <n v="7"/>
  </r>
  <r>
    <x v="1"/>
    <s v="Travel_Rarely"/>
    <x v="2"/>
    <s v="Current Employees"/>
    <x v="2"/>
    <x v="0"/>
    <x v="1368"/>
    <n v="1499"/>
    <x v="1"/>
    <x v="8"/>
    <x v="2"/>
    <s v="No"/>
    <s v="Y"/>
    <n v="3"/>
    <n v="-2"/>
    <n v="0"/>
    <x v="7"/>
    <x v="1"/>
    <x v="1"/>
    <n v="0"/>
    <n v="1"/>
    <n v="330"/>
    <n v="1"/>
    <x v="3"/>
    <x v="0"/>
    <n v="3"/>
    <n v="46"/>
    <n v="3"/>
    <n v="1"/>
    <n v="3"/>
    <x v="1262"/>
    <n v="15428"/>
    <n v="0"/>
    <n v="21"/>
    <n v="4"/>
    <n v="1"/>
    <n v="80"/>
    <n v="1"/>
    <n v="6"/>
    <n v="4"/>
    <n v="5"/>
    <n v="3"/>
    <n v="1"/>
    <n v="3"/>
  </r>
  <r>
    <x v="1"/>
    <s v="Travel_Rarely"/>
    <x v="3"/>
    <s v="Current Employees"/>
    <x v="1"/>
    <x v="2"/>
    <x v="1369"/>
    <n v="1697"/>
    <x v="1"/>
    <x v="4"/>
    <x v="2"/>
    <s v="No"/>
    <s v="Y"/>
    <n v="2"/>
    <n v="-2"/>
    <n v="0"/>
    <x v="42"/>
    <x v="1"/>
    <x v="1"/>
    <n v="0"/>
    <n v="1"/>
    <n v="370"/>
    <n v="1"/>
    <x v="2"/>
    <x v="0"/>
    <n v="3"/>
    <n v="92"/>
    <n v="1"/>
    <n v="3"/>
    <n v="4"/>
    <x v="1263"/>
    <n v="20467"/>
    <n v="3"/>
    <n v="20"/>
    <n v="4"/>
    <n v="3"/>
    <n v="80"/>
    <n v="1"/>
    <n v="19"/>
    <n v="4"/>
    <n v="1"/>
    <n v="0"/>
    <n v="0"/>
    <n v="0"/>
  </r>
  <r>
    <x v="1"/>
    <s v="Travel_Rarely"/>
    <x v="0"/>
    <s v="Current Employees"/>
    <x v="1"/>
    <x v="0"/>
    <x v="1370"/>
    <n v="1664"/>
    <x v="1"/>
    <x v="4"/>
    <x v="2"/>
    <s v="No"/>
    <s v="Y"/>
    <n v="3"/>
    <n v="-2"/>
    <n v="0"/>
    <x v="9"/>
    <x v="1"/>
    <x v="1"/>
    <n v="0"/>
    <n v="1"/>
    <n v="1040"/>
    <n v="3"/>
    <x v="0"/>
    <x v="0"/>
    <n v="4"/>
    <n v="79"/>
    <n v="4"/>
    <n v="2"/>
    <n v="1"/>
    <x v="1264"/>
    <n v="26308"/>
    <n v="6"/>
    <n v="20"/>
    <n v="4"/>
    <n v="1"/>
    <n v="80"/>
    <n v="1"/>
    <n v="13"/>
    <n v="3"/>
    <n v="5"/>
    <n v="4"/>
    <n v="0"/>
    <n v="4"/>
  </r>
  <r>
    <x v="1"/>
    <s v="Travel_Rarely"/>
    <x v="0"/>
    <s v="Current Employees"/>
    <x v="1"/>
    <x v="0"/>
    <x v="1371"/>
    <n v="1772"/>
    <x v="1"/>
    <x v="2"/>
    <x v="2"/>
    <s v="No"/>
    <s v="Y"/>
    <n v="2"/>
    <n v="-2"/>
    <n v="0"/>
    <x v="0"/>
    <x v="1"/>
    <x v="1"/>
    <n v="0"/>
    <n v="1"/>
    <n v="548"/>
    <n v="9"/>
    <x v="2"/>
    <x v="0"/>
    <n v="3"/>
    <n v="94"/>
    <n v="3"/>
    <n v="1"/>
    <n v="1"/>
    <x v="1265"/>
    <n v="20520"/>
    <n v="1"/>
    <n v="20"/>
    <n v="4"/>
    <n v="2"/>
    <n v="80"/>
    <n v="2"/>
    <n v="5"/>
    <n v="3"/>
    <n v="5"/>
    <n v="3"/>
    <n v="0"/>
    <n v="4"/>
  </r>
  <r>
    <x v="1"/>
    <s v="Travel_Rarely"/>
    <x v="0"/>
    <s v="Current Employees"/>
    <x v="1"/>
    <x v="2"/>
    <x v="1372"/>
    <n v="1768"/>
    <x v="1"/>
    <x v="2"/>
    <x v="2"/>
    <s v="No"/>
    <s v="Y"/>
    <n v="6"/>
    <n v="-2"/>
    <n v="0"/>
    <x v="19"/>
    <x v="1"/>
    <x v="1"/>
    <n v="0"/>
    <n v="1"/>
    <n v="855"/>
    <n v="12"/>
    <x v="3"/>
    <x v="0"/>
    <n v="2"/>
    <n v="57"/>
    <n v="3"/>
    <n v="1"/>
    <n v="2"/>
    <x v="1266"/>
    <n v="8952"/>
    <n v="8"/>
    <n v="22"/>
    <n v="4"/>
    <n v="2"/>
    <n v="80"/>
    <n v="3"/>
    <n v="7"/>
    <n v="2"/>
    <n v="5"/>
    <n v="3"/>
    <n v="0"/>
    <n v="4"/>
  </r>
  <r>
    <x v="1"/>
    <s v="Travel_Rarely"/>
    <x v="0"/>
    <s v="Current Employees"/>
    <x v="1"/>
    <x v="2"/>
    <x v="1373"/>
    <n v="1654"/>
    <x v="1"/>
    <x v="3"/>
    <x v="1"/>
    <s v="No"/>
    <s v="Y"/>
    <n v="3"/>
    <n v="-2"/>
    <n v="0"/>
    <x v="22"/>
    <x v="1"/>
    <x v="1"/>
    <n v="0"/>
    <n v="1"/>
    <n v="492"/>
    <n v="12"/>
    <x v="3"/>
    <x v="0"/>
    <n v="4"/>
    <n v="66"/>
    <n v="3"/>
    <n v="2"/>
    <n v="2"/>
    <x v="1267"/>
    <n v="7693"/>
    <n v="4"/>
    <n v="21"/>
    <n v="4"/>
    <n v="3"/>
    <n v="80"/>
    <n v="0"/>
    <n v="7"/>
    <n v="3"/>
    <n v="5"/>
    <n v="4"/>
    <n v="1"/>
    <n v="0"/>
  </r>
  <r>
    <x v="1"/>
    <s v="Travel_Rarely"/>
    <x v="0"/>
    <s v="Current Employees"/>
    <x v="1"/>
    <x v="2"/>
    <x v="1374"/>
    <n v="1936"/>
    <x v="1"/>
    <x v="3"/>
    <x v="1"/>
    <s v="No"/>
    <s v="Y"/>
    <n v="3"/>
    <n v="-2"/>
    <n v="0"/>
    <x v="22"/>
    <x v="1"/>
    <x v="1"/>
    <n v="0"/>
    <n v="1"/>
    <n v="867"/>
    <n v="9"/>
    <x v="0"/>
    <x v="0"/>
    <n v="1"/>
    <n v="87"/>
    <n v="3"/>
    <n v="2"/>
    <n v="1"/>
    <x v="1268"/>
    <n v="12315"/>
    <n v="1"/>
    <n v="25"/>
    <n v="4"/>
    <n v="4"/>
    <n v="80"/>
    <n v="1"/>
    <n v="10"/>
    <n v="3"/>
    <n v="10"/>
    <n v="0"/>
    <n v="7"/>
    <n v="9"/>
  </r>
  <r>
    <x v="1"/>
    <s v="Travel_Rarely"/>
    <x v="3"/>
    <s v="Current Employees"/>
    <x v="1"/>
    <x v="4"/>
    <x v="1375"/>
    <n v="1873"/>
    <x v="1"/>
    <x v="1"/>
    <x v="1"/>
    <s v="No"/>
    <s v="Y"/>
    <n v="2"/>
    <n v="-2"/>
    <n v="0"/>
    <x v="27"/>
    <x v="1"/>
    <x v="1"/>
    <n v="0"/>
    <n v="1"/>
    <n v="836"/>
    <n v="2"/>
    <x v="2"/>
    <x v="0"/>
    <n v="4"/>
    <n v="98"/>
    <n v="2"/>
    <n v="1"/>
    <n v="4"/>
    <x v="1269"/>
    <n v="7975"/>
    <n v="8"/>
    <n v="20"/>
    <n v="4"/>
    <n v="2"/>
    <n v="80"/>
    <n v="1"/>
    <n v="19"/>
    <n v="4"/>
    <n v="5"/>
    <n v="2"/>
    <n v="0"/>
    <n v="4"/>
  </r>
  <r>
    <x v="1"/>
    <s v="Travel_Rarely"/>
    <x v="3"/>
    <s v="Current Employees"/>
    <x v="1"/>
    <x v="0"/>
    <x v="1376"/>
    <n v="1483"/>
    <x v="1"/>
    <x v="1"/>
    <x v="1"/>
    <s v="No"/>
    <s v="Y"/>
    <n v="2"/>
    <n v="-2"/>
    <n v="0"/>
    <x v="38"/>
    <x v="1"/>
    <x v="1"/>
    <n v="0"/>
    <n v="1"/>
    <n v="405"/>
    <n v="1"/>
    <x v="0"/>
    <x v="0"/>
    <n v="2"/>
    <n v="93"/>
    <n v="4"/>
    <n v="2"/>
    <n v="3"/>
    <x v="1270"/>
    <n v="2721"/>
    <n v="0"/>
    <n v="24"/>
    <n v="4"/>
    <n v="1"/>
    <n v="80"/>
    <n v="1"/>
    <n v="13"/>
    <n v="2"/>
    <n v="12"/>
    <n v="9"/>
    <n v="2"/>
    <n v="8"/>
  </r>
  <r>
    <x v="1"/>
    <s v="Travel_Rarely"/>
    <x v="0"/>
    <s v="Current Employees"/>
    <x v="1"/>
    <x v="0"/>
    <x v="1377"/>
    <n v="1666"/>
    <x v="1"/>
    <x v="7"/>
    <x v="1"/>
    <s v="No"/>
    <s v="Y"/>
    <n v="3"/>
    <n v="-2"/>
    <n v="0"/>
    <x v="23"/>
    <x v="1"/>
    <x v="1"/>
    <n v="0"/>
    <n v="1"/>
    <n v="1291"/>
    <n v="15"/>
    <x v="0"/>
    <x v="0"/>
    <n v="3"/>
    <n v="65"/>
    <n v="2"/>
    <n v="4"/>
    <n v="3"/>
    <x v="1271"/>
    <n v="3525"/>
    <n v="1"/>
    <n v="24"/>
    <n v="4"/>
    <n v="1"/>
    <n v="80"/>
    <n v="1"/>
    <n v="14"/>
    <n v="3"/>
    <n v="14"/>
    <n v="10"/>
    <n v="6"/>
    <n v="11"/>
  </r>
  <r>
    <x v="1"/>
    <s v="Travel_Rarely"/>
    <x v="0"/>
    <s v="Current Employees"/>
    <x v="1"/>
    <x v="0"/>
    <x v="1378"/>
    <n v="1999"/>
    <x v="1"/>
    <x v="1"/>
    <x v="1"/>
    <s v="No"/>
    <s v="Y"/>
    <n v="3"/>
    <n v="-2"/>
    <n v="0"/>
    <x v="0"/>
    <x v="1"/>
    <x v="1"/>
    <n v="0"/>
    <n v="1"/>
    <n v="642"/>
    <n v="1"/>
    <x v="3"/>
    <x v="0"/>
    <n v="4"/>
    <n v="76"/>
    <n v="3"/>
    <n v="1"/>
    <n v="4"/>
    <x v="553"/>
    <n v="21412"/>
    <n v="3"/>
    <n v="22"/>
    <n v="4"/>
    <n v="1"/>
    <n v="80"/>
    <n v="1"/>
    <n v="12"/>
    <n v="3"/>
    <n v="5"/>
    <n v="3"/>
    <n v="1"/>
    <n v="0"/>
  </r>
  <r>
    <x v="1"/>
    <s v="Travel_Rarely"/>
    <x v="1"/>
    <s v="Current Employees"/>
    <x v="1"/>
    <x v="4"/>
    <x v="1379"/>
    <n v="1546"/>
    <x v="1"/>
    <x v="1"/>
    <x v="1"/>
    <s v="No"/>
    <s v="Y"/>
    <n v="3"/>
    <n v="-2"/>
    <n v="0"/>
    <x v="28"/>
    <x v="1"/>
    <x v="1"/>
    <n v="0"/>
    <n v="1"/>
    <n v="950"/>
    <n v="28"/>
    <x v="3"/>
    <x v="0"/>
    <n v="4"/>
    <n v="97"/>
    <n v="3"/>
    <n v="1"/>
    <n v="4"/>
    <x v="685"/>
    <n v="4585"/>
    <n v="4"/>
    <n v="20"/>
    <n v="4"/>
    <n v="4"/>
    <n v="80"/>
    <n v="1"/>
    <n v="8"/>
    <n v="3"/>
    <n v="5"/>
    <n v="4"/>
    <n v="0"/>
    <n v="3"/>
  </r>
  <r>
    <x v="1"/>
    <s v="Travel_Rarely"/>
    <x v="1"/>
    <s v="Current Employees"/>
    <x v="1"/>
    <x v="2"/>
    <x v="1380"/>
    <n v="1993"/>
    <x v="1"/>
    <x v="4"/>
    <x v="0"/>
    <s v="No"/>
    <s v="Y"/>
    <n v="3"/>
    <n v="-2"/>
    <n v="0"/>
    <x v="40"/>
    <x v="1"/>
    <x v="1"/>
    <n v="0"/>
    <n v="1"/>
    <n v="1180"/>
    <n v="25"/>
    <x v="3"/>
    <x v="0"/>
    <n v="1"/>
    <n v="84"/>
    <n v="3"/>
    <n v="3"/>
    <n v="3"/>
    <x v="1272"/>
    <n v="13084"/>
    <n v="2"/>
    <n v="23"/>
    <n v="4"/>
    <n v="2"/>
    <n v="80"/>
    <n v="0"/>
    <n v="25"/>
    <n v="3"/>
    <n v="17"/>
    <n v="14"/>
    <n v="12"/>
    <n v="11"/>
  </r>
  <r>
    <x v="1"/>
    <s v="Travel_Rarely"/>
    <x v="0"/>
    <s v="Current Employees"/>
    <x v="1"/>
    <x v="2"/>
    <x v="1381"/>
    <n v="1800"/>
    <x v="1"/>
    <x v="7"/>
    <x v="0"/>
    <s v="No"/>
    <s v="Y"/>
    <n v="3"/>
    <n v="-2"/>
    <n v="0"/>
    <x v="22"/>
    <x v="1"/>
    <x v="1"/>
    <n v="0"/>
    <n v="1"/>
    <n v="1253"/>
    <n v="10"/>
    <x v="1"/>
    <x v="0"/>
    <n v="3"/>
    <n v="65"/>
    <n v="3"/>
    <n v="3"/>
    <n v="3"/>
    <x v="1273"/>
    <n v="7914"/>
    <n v="7"/>
    <n v="21"/>
    <n v="4"/>
    <n v="3"/>
    <n v="80"/>
    <n v="0"/>
    <n v="9"/>
    <n v="3"/>
    <n v="4"/>
    <n v="3"/>
    <n v="2"/>
    <n v="2"/>
  </r>
  <r>
    <x v="1"/>
    <s v="Travel_Rarely"/>
    <x v="2"/>
    <s v="Current Employees"/>
    <x v="1"/>
    <x v="2"/>
    <x v="1382"/>
    <n v="1516"/>
    <x v="1"/>
    <x v="5"/>
    <x v="0"/>
    <s v="No"/>
    <s v="Y"/>
    <n v="5"/>
    <n v="-2"/>
    <n v="0"/>
    <x v="5"/>
    <x v="1"/>
    <x v="1"/>
    <n v="0"/>
    <n v="1"/>
    <n v="495"/>
    <n v="10"/>
    <x v="3"/>
    <x v="0"/>
    <n v="3"/>
    <n v="64"/>
    <n v="3"/>
    <n v="3"/>
    <n v="4"/>
    <x v="1274"/>
    <n v="21072"/>
    <n v="2"/>
    <n v="25"/>
    <n v="4"/>
    <n v="2"/>
    <n v="80"/>
    <n v="0"/>
    <n v="10"/>
    <n v="4"/>
    <n v="5"/>
    <n v="2"/>
    <n v="0"/>
    <n v="0"/>
  </r>
  <r>
    <x v="1"/>
    <s v="Travel_Rarely"/>
    <x v="2"/>
    <s v="Current Employees"/>
    <x v="1"/>
    <x v="0"/>
    <x v="1383"/>
    <n v="1966"/>
    <x v="1"/>
    <x v="3"/>
    <x v="0"/>
    <s v="No"/>
    <s v="Y"/>
    <n v="1"/>
    <n v="-2"/>
    <n v="0"/>
    <x v="5"/>
    <x v="1"/>
    <x v="1"/>
    <n v="0"/>
    <n v="1"/>
    <n v="1373"/>
    <n v="5"/>
    <x v="2"/>
    <x v="0"/>
    <n v="4"/>
    <n v="56"/>
    <n v="2"/>
    <n v="2"/>
    <n v="4"/>
    <x v="1275"/>
    <n v="10138"/>
    <n v="8"/>
    <n v="24"/>
    <n v="4"/>
    <n v="2"/>
    <n v="80"/>
    <n v="0"/>
    <n v="8"/>
    <n v="3"/>
    <n v="1"/>
    <n v="0"/>
    <n v="0"/>
    <n v="0"/>
  </r>
  <r>
    <x v="1"/>
    <s v="Travel_Rarely"/>
    <x v="0"/>
    <s v="Current Employees"/>
    <x v="1"/>
    <x v="1"/>
    <x v="1384"/>
    <n v="1595"/>
    <x v="1"/>
    <x v="5"/>
    <x v="0"/>
    <s v="No"/>
    <s v="Y"/>
    <n v="2"/>
    <n v="-2"/>
    <n v="0"/>
    <x v="19"/>
    <x v="1"/>
    <x v="1"/>
    <n v="0"/>
    <n v="1"/>
    <n v="1059"/>
    <n v="9"/>
    <x v="0"/>
    <x v="0"/>
    <n v="4"/>
    <n v="93"/>
    <n v="2"/>
    <n v="5"/>
    <n v="4"/>
    <x v="1276"/>
    <n v="26362"/>
    <n v="8"/>
    <n v="22"/>
    <n v="4"/>
    <n v="4"/>
    <n v="80"/>
    <n v="0"/>
    <n v="24"/>
    <n v="3"/>
    <n v="1"/>
    <n v="0"/>
    <n v="0"/>
    <n v="1"/>
  </r>
  <r>
    <x v="1"/>
    <s v="Travel_Rarely"/>
    <x v="3"/>
    <s v="Current Employees"/>
    <x v="0"/>
    <x v="3"/>
    <x v="1385"/>
    <n v="1578"/>
    <x v="1"/>
    <x v="5"/>
    <x v="1"/>
    <s v="No"/>
    <s v="Y"/>
    <n v="3"/>
    <n v="-2"/>
    <n v="0"/>
    <x v="27"/>
    <x v="1"/>
    <x v="1"/>
    <n v="0"/>
    <n v="1"/>
    <n v="685"/>
    <n v="26"/>
    <x v="4"/>
    <x v="0"/>
    <n v="3"/>
    <n v="60"/>
    <n v="2"/>
    <n v="5"/>
    <n v="1"/>
    <x v="1277"/>
    <n v="23037"/>
    <n v="1"/>
    <n v="21"/>
    <n v="4"/>
    <n v="3"/>
    <n v="80"/>
    <n v="1"/>
    <n v="36"/>
    <n v="3"/>
    <n v="36"/>
    <n v="6"/>
    <n v="2"/>
    <n v="13"/>
  </r>
  <r>
    <x v="1"/>
    <s v="Travel_Rarely"/>
    <x v="2"/>
    <s v="Current Employees"/>
    <x v="0"/>
    <x v="4"/>
    <x v="1386"/>
    <n v="1823"/>
    <x v="1"/>
    <x v="0"/>
    <x v="1"/>
    <s v="No"/>
    <s v="Y"/>
    <n v="5"/>
    <n v="-2"/>
    <n v="0"/>
    <x v="13"/>
    <x v="1"/>
    <x v="1"/>
    <n v="0"/>
    <n v="1"/>
    <n v="810"/>
    <n v="8"/>
    <x v="0"/>
    <x v="0"/>
    <n v="4"/>
    <n v="92"/>
    <n v="4"/>
    <n v="2"/>
    <n v="4"/>
    <x v="1278"/>
    <n v="22128"/>
    <n v="1"/>
    <n v="21"/>
    <n v="4"/>
    <n v="3"/>
    <n v="80"/>
    <n v="2"/>
    <n v="10"/>
    <n v="3"/>
    <n v="10"/>
    <n v="8"/>
    <n v="4"/>
    <n v="8"/>
  </r>
  <r>
    <x v="1"/>
    <s v="Travel_Rarely"/>
    <x v="2"/>
    <s v="Current Employees"/>
    <x v="0"/>
    <x v="3"/>
    <x v="1387"/>
    <n v="1950"/>
    <x v="1"/>
    <x v="0"/>
    <x v="0"/>
    <s v="No"/>
    <s v="Y"/>
    <n v="3"/>
    <n v="-2"/>
    <n v="0"/>
    <x v="13"/>
    <x v="1"/>
    <x v="1"/>
    <n v="0"/>
    <n v="1"/>
    <n v="937"/>
    <n v="1"/>
    <x v="3"/>
    <x v="0"/>
    <n v="1"/>
    <n v="32"/>
    <n v="3"/>
    <n v="3"/>
    <n v="1"/>
    <x v="1279"/>
    <n v="6770"/>
    <n v="1"/>
    <n v="21"/>
    <n v="4"/>
    <n v="1"/>
    <n v="80"/>
    <n v="0"/>
    <n v="14"/>
    <n v="2"/>
    <n v="14"/>
    <n v="8"/>
    <n v="2"/>
    <n v="1"/>
  </r>
  <r>
    <x v="1"/>
    <s v="Non-Travel"/>
    <x v="1"/>
    <s v="Current Employees"/>
    <x v="1"/>
    <x v="2"/>
    <x v="1388"/>
    <n v="1775"/>
    <x v="0"/>
    <x v="3"/>
    <x v="1"/>
    <s v="Yes"/>
    <s v="Y"/>
    <n v="2"/>
    <n v="-2"/>
    <n v="0"/>
    <x v="16"/>
    <x v="1"/>
    <x v="1"/>
    <n v="0"/>
    <n v="1"/>
    <n v="661"/>
    <n v="1"/>
    <x v="2"/>
    <x v="0"/>
    <n v="1"/>
    <n v="60"/>
    <n v="2"/>
    <n v="4"/>
    <n v="3"/>
    <x v="1280"/>
    <n v="22308"/>
    <n v="4"/>
    <n v="20"/>
    <n v="4"/>
    <n v="4"/>
    <n v="80"/>
    <n v="3"/>
    <n v="27"/>
    <n v="2"/>
    <n v="3"/>
    <n v="2"/>
    <n v="0"/>
    <n v="2"/>
  </r>
  <r>
    <x v="1"/>
    <s v="Non-Travel"/>
    <x v="2"/>
    <s v="Current Employees"/>
    <x v="0"/>
    <x v="0"/>
    <x v="1389"/>
    <n v="1681"/>
    <x v="0"/>
    <x v="0"/>
    <x v="2"/>
    <s v="Yes"/>
    <s v="Y"/>
    <n v="2"/>
    <n v="-2"/>
    <n v="0"/>
    <x v="3"/>
    <x v="1"/>
    <x v="1"/>
    <n v="0"/>
    <n v="1"/>
    <n v="530"/>
    <n v="16"/>
    <x v="3"/>
    <x v="0"/>
    <n v="3"/>
    <n v="36"/>
    <n v="3"/>
    <n v="2"/>
    <n v="4"/>
    <x v="1281"/>
    <n v="16130"/>
    <n v="1"/>
    <n v="25"/>
    <n v="4"/>
    <n v="3"/>
    <n v="80"/>
    <n v="1"/>
    <n v="7"/>
    <n v="3"/>
    <n v="6"/>
    <n v="5"/>
    <n v="1"/>
    <n v="2"/>
  </r>
  <r>
    <x v="1"/>
    <s v="Travel_Rarely"/>
    <x v="0"/>
    <s v="Current Employees"/>
    <x v="1"/>
    <x v="0"/>
    <x v="1390"/>
    <n v="2017"/>
    <x v="0"/>
    <x v="7"/>
    <x v="1"/>
    <s v="Yes"/>
    <s v="Y"/>
    <n v="2"/>
    <n v="-2"/>
    <n v="0"/>
    <x v="2"/>
    <x v="1"/>
    <x v="1"/>
    <n v="0"/>
    <n v="1"/>
    <n v="161"/>
    <n v="10"/>
    <x v="3"/>
    <x v="0"/>
    <n v="3"/>
    <n v="42"/>
    <n v="4"/>
    <n v="3"/>
    <n v="4"/>
    <x v="1282"/>
    <n v="15471"/>
    <n v="1"/>
    <n v="25"/>
    <n v="4"/>
    <n v="1"/>
    <n v="80"/>
    <n v="1"/>
    <n v="16"/>
    <n v="3"/>
    <n v="16"/>
    <n v="11"/>
    <n v="6"/>
    <n v="8"/>
  </r>
  <r>
    <x v="1"/>
    <s v="Travel_Rarely"/>
    <x v="3"/>
    <s v="Current Employees"/>
    <x v="1"/>
    <x v="2"/>
    <x v="1391"/>
    <n v="1423"/>
    <x v="0"/>
    <x v="7"/>
    <x v="1"/>
    <s v="Yes"/>
    <s v="Y"/>
    <n v="3"/>
    <n v="-2"/>
    <n v="0"/>
    <x v="34"/>
    <x v="1"/>
    <x v="1"/>
    <n v="0"/>
    <n v="1"/>
    <n v="1055"/>
    <n v="1"/>
    <x v="3"/>
    <x v="0"/>
    <n v="4"/>
    <n v="76"/>
    <n v="3"/>
    <n v="5"/>
    <n v="1"/>
    <x v="1283"/>
    <n v="22456"/>
    <n v="3"/>
    <n v="21"/>
    <n v="4"/>
    <n v="3"/>
    <n v="80"/>
    <n v="1"/>
    <n v="32"/>
    <n v="3"/>
    <n v="9"/>
    <n v="8"/>
    <n v="1"/>
    <n v="5"/>
  </r>
  <r>
    <x v="1"/>
    <s v="Travel_Rarely"/>
    <x v="0"/>
    <s v="Current Employees"/>
    <x v="1"/>
    <x v="1"/>
    <x v="1392"/>
    <n v="1847"/>
    <x v="0"/>
    <x v="1"/>
    <x v="1"/>
    <s v="Yes"/>
    <s v="Y"/>
    <n v="2"/>
    <n v="-2"/>
    <n v="0"/>
    <x v="9"/>
    <x v="1"/>
    <x v="1"/>
    <n v="0"/>
    <n v="1"/>
    <n v="430"/>
    <n v="2"/>
    <x v="2"/>
    <x v="0"/>
    <n v="4"/>
    <n v="73"/>
    <n v="3"/>
    <n v="2"/>
    <n v="2"/>
    <x v="1284"/>
    <n v="19573"/>
    <n v="4"/>
    <n v="22"/>
    <n v="4"/>
    <n v="4"/>
    <n v="80"/>
    <n v="1"/>
    <n v="15"/>
    <n v="3"/>
    <n v="1"/>
    <n v="0"/>
    <n v="0"/>
    <n v="0"/>
  </r>
  <r>
    <x v="1"/>
    <s v="Travel_Rarely"/>
    <x v="2"/>
    <s v="Current Employees"/>
    <x v="0"/>
    <x v="1"/>
    <x v="1393"/>
    <n v="2018"/>
    <x v="0"/>
    <x v="0"/>
    <x v="2"/>
    <s v="Yes"/>
    <s v="Y"/>
    <n v="3"/>
    <n v="-2"/>
    <n v="0"/>
    <x v="36"/>
    <x v="1"/>
    <x v="1"/>
    <n v="0"/>
    <n v="1"/>
    <n v="1382"/>
    <n v="8"/>
    <x v="0"/>
    <x v="0"/>
    <n v="1"/>
    <n v="85"/>
    <n v="3"/>
    <n v="2"/>
    <n v="3"/>
    <x v="274"/>
    <n v="13684"/>
    <n v="0"/>
    <n v="22"/>
    <n v="4"/>
    <n v="2"/>
    <n v="80"/>
    <n v="1"/>
    <n v="6"/>
    <n v="2"/>
    <n v="5"/>
    <n v="3"/>
    <n v="0"/>
    <n v="4"/>
  </r>
  <r>
    <x v="1"/>
    <s v="Travel_Rarely"/>
    <x v="0"/>
    <s v="Current Employees"/>
    <x v="0"/>
    <x v="3"/>
    <x v="1394"/>
    <n v="1835"/>
    <x v="0"/>
    <x v="6"/>
    <x v="1"/>
    <s v="Yes"/>
    <s v="Y"/>
    <n v="4"/>
    <n v="-2"/>
    <n v="0"/>
    <x v="8"/>
    <x v="1"/>
    <x v="1"/>
    <n v="0"/>
    <n v="1"/>
    <n v="723"/>
    <n v="2"/>
    <x v="2"/>
    <x v="0"/>
    <n v="2"/>
    <n v="77"/>
    <n v="1"/>
    <n v="2"/>
    <n v="1"/>
    <x v="517"/>
    <n v="4244"/>
    <n v="2"/>
    <n v="20"/>
    <n v="4"/>
    <n v="1"/>
    <n v="80"/>
    <n v="2"/>
    <n v="20"/>
    <n v="2"/>
    <n v="4"/>
    <n v="2"/>
    <n v="0"/>
    <n v="3"/>
  </r>
  <r>
    <x v="1"/>
    <s v="Travel_Rarely"/>
    <x v="0"/>
    <s v="Current Employees"/>
    <x v="2"/>
    <x v="2"/>
    <x v="1395"/>
    <n v="1550"/>
    <x v="1"/>
    <x v="5"/>
    <x v="0"/>
    <s v="Yes"/>
    <s v="Y"/>
    <n v="2"/>
    <n v="-2"/>
    <n v="0"/>
    <x v="32"/>
    <x v="1"/>
    <x v="1"/>
    <n v="0"/>
    <n v="1"/>
    <n v="898"/>
    <n v="6"/>
    <x v="0"/>
    <x v="0"/>
    <n v="3"/>
    <n v="38"/>
    <n v="3"/>
    <n v="4"/>
    <n v="4"/>
    <x v="1285"/>
    <n v="17381"/>
    <n v="1"/>
    <n v="21"/>
    <n v="4"/>
    <n v="4"/>
    <n v="80"/>
    <n v="0"/>
    <n v="21"/>
    <n v="3"/>
    <n v="21"/>
    <n v="7"/>
    <n v="7"/>
    <n v="7"/>
  </r>
  <r>
    <x v="1"/>
    <s v="Travel_Rarely"/>
    <x v="2"/>
    <s v="Current Employees"/>
    <x v="1"/>
    <x v="0"/>
    <x v="1396"/>
    <n v="2064"/>
    <x v="1"/>
    <x v="3"/>
    <x v="1"/>
    <s v="Yes"/>
    <s v="Y"/>
    <n v="0"/>
    <n v="-2"/>
    <n v="0"/>
    <x v="4"/>
    <x v="1"/>
    <x v="1"/>
    <n v="0"/>
    <n v="1"/>
    <n v="155"/>
    <n v="4"/>
    <x v="3"/>
    <x v="0"/>
    <n v="2"/>
    <n v="87"/>
    <n v="4"/>
    <n v="2"/>
    <n v="2"/>
    <x v="528"/>
    <n v="5174"/>
    <n v="1"/>
    <n v="20"/>
    <n v="4"/>
    <n v="2"/>
    <n v="80"/>
    <n v="1"/>
    <n v="6"/>
    <n v="3"/>
    <n v="6"/>
    <n v="2"/>
    <n v="0"/>
    <n v="3"/>
  </r>
  <r>
    <x v="1"/>
    <s v="Travel_Rarely"/>
    <x v="0"/>
    <s v="Current Employees"/>
    <x v="1"/>
    <x v="2"/>
    <x v="1397"/>
    <n v="1885"/>
    <x v="1"/>
    <x v="1"/>
    <x v="1"/>
    <s v="Yes"/>
    <s v="Y"/>
    <n v="2"/>
    <n v="-2"/>
    <n v="0"/>
    <x v="2"/>
    <x v="1"/>
    <x v="1"/>
    <n v="0"/>
    <n v="1"/>
    <n v="783"/>
    <n v="7"/>
    <x v="2"/>
    <x v="0"/>
    <n v="4"/>
    <n v="78"/>
    <n v="3"/>
    <n v="2"/>
    <n v="1"/>
    <x v="1286"/>
    <n v="13588"/>
    <n v="5"/>
    <n v="22"/>
    <n v="4"/>
    <n v="3"/>
    <n v="80"/>
    <n v="1"/>
    <n v="16"/>
    <n v="3"/>
    <n v="5"/>
    <n v="3"/>
    <n v="0"/>
    <n v="4"/>
  </r>
  <r>
    <x v="1"/>
    <s v="Travel_Rarely"/>
    <x v="2"/>
    <s v="Current Employees"/>
    <x v="0"/>
    <x v="4"/>
    <x v="1398"/>
    <n v="1541"/>
    <x v="1"/>
    <x v="6"/>
    <x v="1"/>
    <s v="Yes"/>
    <s v="Y"/>
    <n v="4"/>
    <n v="-2"/>
    <n v="0"/>
    <x v="13"/>
    <x v="1"/>
    <x v="1"/>
    <n v="0"/>
    <n v="1"/>
    <n v="1440"/>
    <n v="7"/>
    <x v="0"/>
    <x v="0"/>
    <n v="4"/>
    <n v="55"/>
    <n v="3"/>
    <n v="1"/>
    <n v="4"/>
    <x v="1287"/>
    <n v="4944"/>
    <n v="0"/>
    <n v="25"/>
    <n v="4"/>
    <n v="2"/>
    <n v="80"/>
    <n v="1"/>
    <n v="12"/>
    <n v="3"/>
    <n v="11"/>
    <n v="10"/>
    <n v="5"/>
    <n v="7"/>
  </r>
  <r>
    <x v="1"/>
    <s v="Travel_Rarely"/>
    <x v="0"/>
    <s v="Current Employees"/>
    <x v="0"/>
    <x v="0"/>
    <x v="1399"/>
    <n v="1556"/>
    <x v="1"/>
    <x v="6"/>
    <x v="0"/>
    <s v="Yes"/>
    <s v="Y"/>
    <n v="3"/>
    <n v="-2"/>
    <n v="0"/>
    <x v="9"/>
    <x v="1"/>
    <x v="1"/>
    <n v="0"/>
    <n v="1"/>
    <n v="1157"/>
    <n v="2"/>
    <x v="2"/>
    <x v="0"/>
    <n v="3"/>
    <n v="70"/>
    <n v="3"/>
    <n v="1"/>
    <n v="4"/>
    <x v="1288"/>
    <n v="17001"/>
    <n v="3"/>
    <n v="21"/>
    <n v="4"/>
    <n v="4"/>
    <n v="80"/>
    <n v="0"/>
    <n v="7"/>
    <n v="2"/>
    <n v="3"/>
    <n v="2"/>
    <n v="1"/>
    <n v="2"/>
  </r>
  <r>
    <x v="0"/>
    <s v="Travel_Frequently"/>
    <x v="2"/>
    <s v="Ex-Employees"/>
    <x v="2"/>
    <x v="5"/>
    <x v="1400"/>
    <n v="1747"/>
    <x v="0"/>
    <x v="8"/>
    <x v="2"/>
    <s v="No"/>
    <s v="Y"/>
    <n v="0"/>
    <n v="-2"/>
    <n v="0"/>
    <x v="7"/>
    <x v="0"/>
    <x v="0"/>
    <n v="1"/>
    <n v="0"/>
    <n v="600"/>
    <n v="8"/>
    <x v="3"/>
    <x v="0"/>
    <n v="3"/>
    <n v="66"/>
    <n v="2"/>
    <n v="1"/>
    <n v="4"/>
    <x v="1289"/>
    <n v="9732"/>
    <n v="6"/>
    <n v="11"/>
    <n v="3"/>
    <n v="3"/>
    <n v="80"/>
    <n v="1"/>
    <n v="6"/>
    <n v="2"/>
    <n v="4"/>
    <n v="2"/>
    <n v="1"/>
    <n v="2"/>
  </r>
  <r>
    <x v="0"/>
    <s v="Travel_Frequently"/>
    <x v="2"/>
    <s v="Ex-Employees"/>
    <x v="2"/>
    <x v="5"/>
    <x v="1401"/>
    <n v="1944"/>
    <x v="0"/>
    <x v="8"/>
    <x v="1"/>
    <s v="No"/>
    <s v="Y"/>
    <n v="2"/>
    <n v="-2"/>
    <n v="0"/>
    <x v="4"/>
    <x v="0"/>
    <x v="0"/>
    <n v="1"/>
    <n v="0"/>
    <n v="1337"/>
    <n v="22"/>
    <x v="3"/>
    <x v="0"/>
    <n v="1"/>
    <n v="58"/>
    <n v="2"/>
    <n v="1"/>
    <n v="2"/>
    <x v="1290"/>
    <n v="19555"/>
    <n v="1"/>
    <n v="12"/>
    <n v="3"/>
    <n v="1"/>
    <n v="80"/>
    <n v="0"/>
    <n v="1"/>
    <n v="3"/>
    <n v="1"/>
    <n v="0"/>
    <n v="0"/>
    <n v="0"/>
  </r>
  <r>
    <x v="0"/>
    <s v="Travel_Frequently"/>
    <x v="2"/>
    <s v="Ex-Employees"/>
    <x v="1"/>
    <x v="0"/>
    <x v="1402"/>
    <n v="1459"/>
    <x v="0"/>
    <x v="3"/>
    <x v="0"/>
    <s v="No"/>
    <s v="Y"/>
    <n v="2"/>
    <n v="-2"/>
    <n v="0"/>
    <x v="12"/>
    <x v="0"/>
    <x v="0"/>
    <n v="1"/>
    <n v="0"/>
    <n v="1445"/>
    <n v="1"/>
    <x v="4"/>
    <x v="0"/>
    <n v="3"/>
    <n v="100"/>
    <n v="4"/>
    <n v="3"/>
    <n v="2"/>
    <x v="1291"/>
    <n v="8931"/>
    <n v="1"/>
    <n v="11"/>
    <n v="3"/>
    <n v="1"/>
    <n v="80"/>
    <n v="0"/>
    <n v="10"/>
    <n v="3"/>
    <n v="10"/>
    <n v="8"/>
    <n v="4"/>
    <n v="7"/>
  </r>
  <r>
    <x v="0"/>
    <s v="Travel_Frequently"/>
    <x v="2"/>
    <s v="Ex-Employees"/>
    <x v="1"/>
    <x v="0"/>
    <x v="1403"/>
    <n v="1537"/>
    <x v="0"/>
    <x v="1"/>
    <x v="0"/>
    <s v="No"/>
    <s v="Y"/>
    <n v="2"/>
    <n v="-2"/>
    <n v="0"/>
    <x v="12"/>
    <x v="0"/>
    <x v="0"/>
    <n v="1"/>
    <n v="0"/>
    <n v="561"/>
    <n v="3"/>
    <x v="3"/>
    <x v="0"/>
    <n v="4"/>
    <n v="33"/>
    <n v="3"/>
    <n v="1"/>
    <n v="3"/>
    <x v="1292"/>
    <n v="4156"/>
    <n v="1"/>
    <n v="12"/>
    <n v="3"/>
    <n v="1"/>
    <n v="80"/>
    <n v="0"/>
    <n v="7"/>
    <n v="1"/>
    <n v="7"/>
    <n v="2"/>
    <n v="7"/>
    <n v="7"/>
  </r>
  <r>
    <x v="0"/>
    <s v="Travel_Frequently"/>
    <x v="2"/>
    <s v="Ex-Employees"/>
    <x v="0"/>
    <x v="4"/>
    <x v="1404"/>
    <n v="1487"/>
    <x v="0"/>
    <x v="0"/>
    <x v="0"/>
    <s v="No"/>
    <s v="Y"/>
    <n v="4"/>
    <n v="-2"/>
    <n v="0"/>
    <x v="11"/>
    <x v="0"/>
    <x v="0"/>
    <n v="1"/>
    <n v="0"/>
    <n v="115"/>
    <n v="13"/>
    <x v="3"/>
    <x v="0"/>
    <n v="4"/>
    <n v="51"/>
    <n v="3"/>
    <n v="2"/>
    <n v="4"/>
    <x v="1293"/>
    <n v="17485"/>
    <n v="5"/>
    <n v="11"/>
    <n v="3"/>
    <n v="1"/>
    <n v="80"/>
    <n v="0"/>
    <n v="7"/>
    <n v="1"/>
    <n v="5"/>
    <n v="3"/>
    <n v="0"/>
    <n v="0"/>
  </r>
  <r>
    <x v="0"/>
    <s v="Travel_Frequently"/>
    <x v="2"/>
    <s v="Ex-Employees"/>
    <x v="0"/>
    <x v="0"/>
    <x v="1405"/>
    <n v="1427"/>
    <x v="0"/>
    <x v="6"/>
    <x v="0"/>
    <s v="No"/>
    <s v="Y"/>
    <n v="3"/>
    <n v="-2"/>
    <n v="0"/>
    <x v="12"/>
    <x v="0"/>
    <x v="0"/>
    <n v="1"/>
    <n v="0"/>
    <n v="667"/>
    <n v="1"/>
    <x v="2"/>
    <x v="0"/>
    <n v="2"/>
    <n v="50"/>
    <n v="1"/>
    <n v="1"/>
    <n v="3"/>
    <x v="1294"/>
    <n v="16154"/>
    <n v="1"/>
    <n v="12"/>
    <n v="3"/>
    <n v="2"/>
    <n v="80"/>
    <n v="0"/>
    <n v="1"/>
    <n v="3"/>
    <n v="1"/>
    <n v="0"/>
    <n v="0"/>
    <n v="0"/>
  </r>
  <r>
    <x v="0"/>
    <s v="Travel_Rarely"/>
    <x v="2"/>
    <s v="Ex-Employees"/>
    <x v="2"/>
    <x v="4"/>
    <x v="1406"/>
    <n v="1467"/>
    <x v="0"/>
    <x v="8"/>
    <x v="1"/>
    <s v="No"/>
    <s v="Y"/>
    <n v="0"/>
    <n v="-2"/>
    <n v="0"/>
    <x v="13"/>
    <x v="0"/>
    <x v="0"/>
    <n v="1"/>
    <n v="0"/>
    <n v="1107"/>
    <n v="9"/>
    <x v="2"/>
    <x v="0"/>
    <n v="4"/>
    <n v="52"/>
    <n v="3"/>
    <n v="1"/>
    <n v="4"/>
    <x v="1295"/>
    <n v="3072"/>
    <n v="1"/>
    <n v="15"/>
    <n v="3"/>
    <n v="4"/>
    <n v="80"/>
    <n v="0"/>
    <n v="2"/>
    <n v="3"/>
    <n v="2"/>
    <n v="2"/>
    <n v="2"/>
    <n v="2"/>
  </r>
  <r>
    <x v="0"/>
    <s v="Travel_Rarely"/>
    <x v="1"/>
    <s v="Ex-Employees"/>
    <x v="1"/>
    <x v="4"/>
    <x v="1407"/>
    <n v="1572"/>
    <x v="0"/>
    <x v="3"/>
    <x v="1"/>
    <s v="No"/>
    <s v="Y"/>
    <n v="4"/>
    <n v="-2"/>
    <n v="0"/>
    <x v="16"/>
    <x v="0"/>
    <x v="0"/>
    <n v="1"/>
    <n v="0"/>
    <n v="607"/>
    <n v="2"/>
    <x v="4"/>
    <x v="0"/>
    <n v="3"/>
    <n v="78"/>
    <n v="2"/>
    <n v="3"/>
    <n v="4"/>
    <x v="1296"/>
    <n v="14618"/>
    <n v="0"/>
    <n v="16"/>
    <n v="3"/>
    <n v="2"/>
    <n v="80"/>
    <n v="1"/>
    <n v="34"/>
    <n v="3"/>
    <n v="33"/>
    <n v="7"/>
    <n v="1"/>
    <n v="9"/>
  </r>
  <r>
    <x v="0"/>
    <s v="Travel_Rarely"/>
    <x v="2"/>
    <s v="Ex-Employees"/>
    <x v="1"/>
    <x v="0"/>
    <x v="1408"/>
    <n v="1433"/>
    <x v="0"/>
    <x v="1"/>
    <x v="0"/>
    <s v="No"/>
    <s v="Y"/>
    <n v="3"/>
    <n v="-2"/>
    <n v="0"/>
    <x v="12"/>
    <x v="0"/>
    <x v="0"/>
    <n v="1"/>
    <n v="0"/>
    <n v="202"/>
    <n v="8"/>
    <x v="3"/>
    <x v="0"/>
    <n v="1"/>
    <n v="34"/>
    <n v="2"/>
    <n v="1"/>
    <n v="2"/>
    <x v="1297"/>
    <n v="22262"/>
    <n v="1"/>
    <n v="12"/>
    <n v="3"/>
    <n v="3"/>
    <n v="80"/>
    <n v="0"/>
    <n v="1"/>
    <n v="4"/>
    <n v="1"/>
    <n v="0"/>
    <n v="0"/>
    <n v="0"/>
  </r>
  <r>
    <x v="0"/>
    <s v="Travel_Rarely"/>
    <x v="2"/>
    <s v="Ex-Employees"/>
    <x v="0"/>
    <x v="3"/>
    <x v="1409"/>
    <n v="1752"/>
    <x v="0"/>
    <x v="6"/>
    <x v="0"/>
    <s v="No"/>
    <s v="Y"/>
    <n v="3"/>
    <n v="-2"/>
    <n v="0"/>
    <x v="11"/>
    <x v="0"/>
    <x v="0"/>
    <n v="1"/>
    <n v="0"/>
    <n v="428"/>
    <n v="9"/>
    <x v="3"/>
    <x v="0"/>
    <n v="2"/>
    <n v="52"/>
    <n v="1"/>
    <n v="1"/>
    <n v="1"/>
    <x v="1298"/>
    <n v="14630"/>
    <n v="1"/>
    <n v="13"/>
    <n v="3"/>
    <n v="3"/>
    <n v="80"/>
    <n v="0"/>
    <n v="2"/>
    <n v="3"/>
    <n v="2"/>
    <n v="2"/>
    <n v="2"/>
    <n v="2"/>
  </r>
  <r>
    <x v="0"/>
    <s v="Travel_Frequently"/>
    <x v="2"/>
    <s v="Ex-Employees"/>
    <x v="1"/>
    <x v="0"/>
    <x v="1410"/>
    <n v="1807"/>
    <x v="1"/>
    <x v="2"/>
    <x v="1"/>
    <s v="No"/>
    <s v="Y"/>
    <n v="3"/>
    <n v="-2"/>
    <n v="0"/>
    <x v="13"/>
    <x v="0"/>
    <x v="0"/>
    <n v="1"/>
    <n v="0"/>
    <n v="234"/>
    <n v="9"/>
    <x v="2"/>
    <x v="0"/>
    <n v="4"/>
    <n v="93"/>
    <n v="3"/>
    <n v="2"/>
    <n v="1"/>
    <x v="800"/>
    <n v="6208"/>
    <n v="4"/>
    <n v="17"/>
    <n v="3"/>
    <n v="3"/>
    <n v="80"/>
    <n v="1"/>
    <n v="11"/>
    <n v="2"/>
    <n v="7"/>
    <n v="1"/>
    <n v="0"/>
    <n v="7"/>
  </r>
  <r>
    <x v="0"/>
    <s v="Travel_Frequently"/>
    <x v="2"/>
    <s v="Ex-Employees"/>
    <x v="1"/>
    <x v="2"/>
    <x v="1411"/>
    <n v="1504"/>
    <x v="1"/>
    <x v="2"/>
    <x v="0"/>
    <s v="No"/>
    <s v="Y"/>
    <n v="2"/>
    <n v="-2"/>
    <n v="0"/>
    <x v="14"/>
    <x v="0"/>
    <x v="0"/>
    <n v="1"/>
    <n v="0"/>
    <n v="289"/>
    <n v="2"/>
    <x v="0"/>
    <x v="0"/>
    <n v="3"/>
    <n v="38"/>
    <n v="2"/>
    <n v="1"/>
    <n v="1"/>
    <x v="1299"/>
    <n v="5355"/>
    <n v="7"/>
    <n v="11"/>
    <n v="3"/>
    <n v="3"/>
    <n v="80"/>
    <n v="0"/>
    <n v="8"/>
    <n v="2"/>
    <n v="0"/>
    <n v="0"/>
    <n v="0"/>
    <n v="0"/>
  </r>
  <r>
    <x v="0"/>
    <s v="Travel_Frequently"/>
    <x v="1"/>
    <s v="Ex-Employees"/>
    <x v="0"/>
    <x v="0"/>
    <x v="1412"/>
    <n v="2044"/>
    <x v="1"/>
    <x v="0"/>
    <x v="2"/>
    <s v="No"/>
    <s v="Y"/>
    <n v="3"/>
    <n v="-2"/>
    <n v="0"/>
    <x v="24"/>
    <x v="0"/>
    <x v="0"/>
    <n v="1"/>
    <n v="0"/>
    <n v="878"/>
    <n v="1"/>
    <x v="2"/>
    <x v="0"/>
    <n v="2"/>
    <n v="94"/>
    <n v="3"/>
    <n v="2"/>
    <n v="3"/>
    <x v="1300"/>
    <n v="14255"/>
    <n v="7"/>
    <n v="12"/>
    <n v="3"/>
    <n v="4"/>
    <n v="80"/>
    <n v="2"/>
    <n v="12"/>
    <n v="3"/>
    <n v="6"/>
    <n v="3"/>
    <n v="0"/>
    <n v="1"/>
  </r>
  <r>
    <x v="0"/>
    <s v="Travel_Frequently"/>
    <x v="1"/>
    <s v="Ex-Employees"/>
    <x v="0"/>
    <x v="0"/>
    <x v="1413"/>
    <n v="1716"/>
    <x v="1"/>
    <x v="0"/>
    <x v="1"/>
    <s v="No"/>
    <s v="Y"/>
    <n v="3"/>
    <n v="-2"/>
    <n v="0"/>
    <x v="40"/>
    <x v="0"/>
    <x v="0"/>
    <n v="1"/>
    <n v="0"/>
    <n v="1093"/>
    <n v="9"/>
    <x v="3"/>
    <x v="0"/>
    <n v="3"/>
    <n v="82"/>
    <n v="1"/>
    <n v="4"/>
    <n v="3"/>
    <x v="1301"/>
    <n v="24164"/>
    <n v="7"/>
    <n v="11"/>
    <n v="3"/>
    <n v="3"/>
    <n v="80"/>
    <n v="0"/>
    <n v="25"/>
    <n v="1"/>
    <n v="23"/>
    <n v="5"/>
    <n v="14"/>
    <n v="10"/>
  </r>
  <r>
    <x v="0"/>
    <s v="Travel_Frequently"/>
    <x v="2"/>
    <s v="Ex-Employees"/>
    <x v="0"/>
    <x v="4"/>
    <x v="1414"/>
    <n v="1486"/>
    <x v="1"/>
    <x v="6"/>
    <x v="1"/>
    <s v="No"/>
    <s v="Y"/>
    <n v="3"/>
    <n v="-2"/>
    <n v="0"/>
    <x v="14"/>
    <x v="0"/>
    <x v="0"/>
    <n v="1"/>
    <n v="0"/>
    <n v="1496"/>
    <n v="1"/>
    <x v="3"/>
    <x v="0"/>
    <n v="1"/>
    <n v="92"/>
    <n v="3"/>
    <n v="1"/>
    <n v="4"/>
    <x v="3"/>
    <n v="15747"/>
    <n v="3"/>
    <n v="15"/>
    <n v="3"/>
    <n v="4"/>
    <n v="80"/>
    <n v="1"/>
    <n v="5"/>
    <n v="4"/>
    <n v="3"/>
    <n v="2"/>
    <n v="1"/>
    <n v="2"/>
  </r>
  <r>
    <x v="0"/>
    <s v="Travel_Frequently"/>
    <x v="4"/>
    <s v="Ex-Employees"/>
    <x v="0"/>
    <x v="3"/>
    <x v="1415"/>
    <n v="2023"/>
    <x v="1"/>
    <x v="6"/>
    <x v="1"/>
    <s v="No"/>
    <s v="Y"/>
    <n v="3"/>
    <n v="-2"/>
    <n v="0"/>
    <x v="30"/>
    <x v="0"/>
    <x v="0"/>
    <n v="1"/>
    <n v="0"/>
    <n v="638"/>
    <n v="9"/>
    <x v="3"/>
    <x v="0"/>
    <n v="4"/>
    <n v="33"/>
    <n v="3"/>
    <n v="1"/>
    <n v="1"/>
    <x v="1302"/>
    <n v="26956"/>
    <n v="1"/>
    <n v="19"/>
    <n v="3"/>
    <n v="1"/>
    <n v="80"/>
    <n v="1"/>
    <n v="1"/>
    <n v="2"/>
    <n v="1"/>
    <n v="0"/>
    <n v="1"/>
    <n v="0"/>
  </r>
  <r>
    <x v="0"/>
    <s v="Travel_Frequently"/>
    <x v="2"/>
    <s v="Ex-Employees"/>
    <x v="0"/>
    <x v="4"/>
    <x v="1416"/>
    <n v="1928"/>
    <x v="1"/>
    <x v="6"/>
    <x v="0"/>
    <s v="No"/>
    <s v="Y"/>
    <n v="3"/>
    <n v="-2"/>
    <n v="0"/>
    <x v="11"/>
    <x v="0"/>
    <x v="0"/>
    <n v="1"/>
    <n v="0"/>
    <n v="746"/>
    <n v="24"/>
    <x v="3"/>
    <x v="0"/>
    <n v="3"/>
    <n v="45"/>
    <n v="4"/>
    <n v="1"/>
    <n v="4"/>
    <x v="1303"/>
    <n v="10642"/>
    <n v="1"/>
    <n v="17"/>
    <n v="3"/>
    <n v="4"/>
    <n v="80"/>
    <n v="0"/>
    <n v="1"/>
    <n v="3"/>
    <n v="1"/>
    <n v="0"/>
    <n v="0"/>
    <n v="0"/>
  </r>
  <r>
    <x v="0"/>
    <s v="Travel_Rarely"/>
    <x v="2"/>
    <s v="Ex-Employees"/>
    <x v="2"/>
    <x v="5"/>
    <x v="1417"/>
    <n v="1842"/>
    <x v="1"/>
    <x v="8"/>
    <x v="1"/>
    <s v="No"/>
    <s v="Y"/>
    <n v="4"/>
    <n v="-2"/>
    <n v="0"/>
    <x v="12"/>
    <x v="0"/>
    <x v="0"/>
    <n v="1"/>
    <n v="0"/>
    <n v="359"/>
    <n v="18"/>
    <x v="4"/>
    <x v="0"/>
    <n v="4"/>
    <n v="89"/>
    <n v="4"/>
    <n v="1"/>
    <n v="1"/>
    <x v="98"/>
    <n v="21495"/>
    <n v="0"/>
    <n v="17"/>
    <n v="3"/>
    <n v="3"/>
    <n v="80"/>
    <n v="0"/>
    <n v="2"/>
    <n v="3"/>
    <n v="1"/>
    <n v="0"/>
    <n v="0"/>
    <n v="0"/>
  </r>
  <r>
    <x v="0"/>
    <s v="Travel_Rarely"/>
    <x v="4"/>
    <s v="Ex-Employees"/>
    <x v="2"/>
    <x v="5"/>
    <x v="1418"/>
    <n v="1714"/>
    <x v="1"/>
    <x v="8"/>
    <x v="1"/>
    <s v="No"/>
    <s v="Y"/>
    <n v="2"/>
    <n v="-2"/>
    <n v="0"/>
    <x v="17"/>
    <x v="0"/>
    <x v="0"/>
    <n v="1"/>
    <n v="0"/>
    <n v="240"/>
    <n v="22"/>
    <x v="1"/>
    <x v="0"/>
    <n v="4"/>
    <n v="58"/>
    <n v="1"/>
    <n v="1"/>
    <n v="3"/>
    <x v="1304"/>
    <n v="11585"/>
    <n v="1"/>
    <n v="11"/>
    <n v="3"/>
    <n v="3"/>
    <n v="80"/>
    <n v="1"/>
    <n v="1"/>
    <n v="3"/>
    <n v="1"/>
    <n v="0"/>
    <n v="0"/>
    <n v="0"/>
  </r>
  <r>
    <x v="0"/>
    <s v="Travel_Rarely"/>
    <x v="2"/>
    <s v="Ex-Employees"/>
    <x v="1"/>
    <x v="4"/>
    <x v="1419"/>
    <n v="1960"/>
    <x v="1"/>
    <x v="2"/>
    <x v="2"/>
    <s v="No"/>
    <s v="Y"/>
    <n v="2"/>
    <n v="-2"/>
    <n v="0"/>
    <x v="14"/>
    <x v="0"/>
    <x v="0"/>
    <n v="1"/>
    <n v="0"/>
    <n v="1404"/>
    <n v="17"/>
    <x v="3"/>
    <x v="0"/>
    <n v="3"/>
    <n v="32"/>
    <n v="2"/>
    <n v="1"/>
    <n v="4"/>
    <x v="978"/>
    <n v="18779"/>
    <n v="5"/>
    <n v="12"/>
    <n v="3"/>
    <n v="1"/>
    <n v="80"/>
    <n v="1"/>
    <n v="6"/>
    <n v="2"/>
    <n v="4"/>
    <n v="1"/>
    <n v="0"/>
    <n v="3"/>
  </r>
  <r>
    <x v="0"/>
    <s v="Travel_Rarely"/>
    <x v="3"/>
    <s v="Ex-Employees"/>
    <x v="1"/>
    <x v="4"/>
    <x v="1420"/>
    <n v="2032"/>
    <x v="1"/>
    <x v="2"/>
    <x v="1"/>
    <s v="No"/>
    <s v="Y"/>
    <n v="4"/>
    <n v="-2"/>
    <n v="0"/>
    <x v="29"/>
    <x v="0"/>
    <x v="0"/>
    <n v="1"/>
    <n v="0"/>
    <n v="310"/>
    <n v="7"/>
    <x v="0"/>
    <x v="0"/>
    <n v="4"/>
    <n v="72"/>
    <n v="3"/>
    <n v="1"/>
    <n v="4"/>
    <x v="1305"/>
    <n v="3666"/>
    <n v="8"/>
    <n v="11"/>
    <n v="3"/>
    <n v="4"/>
    <n v="80"/>
    <n v="1"/>
    <n v="14"/>
    <n v="1"/>
    <n v="10"/>
    <n v="9"/>
    <n v="9"/>
    <n v="8"/>
  </r>
  <r>
    <x v="0"/>
    <s v="Travel_Rarely"/>
    <x v="0"/>
    <s v="Ex-Employees"/>
    <x v="1"/>
    <x v="2"/>
    <x v="1421"/>
    <n v="1573"/>
    <x v="1"/>
    <x v="3"/>
    <x v="1"/>
    <s v="No"/>
    <s v="Y"/>
    <n v="2"/>
    <n v="-2"/>
    <n v="0"/>
    <x v="8"/>
    <x v="0"/>
    <x v="0"/>
    <n v="1"/>
    <n v="0"/>
    <n v="903"/>
    <n v="2"/>
    <x v="3"/>
    <x v="0"/>
    <n v="3"/>
    <n v="81"/>
    <n v="3"/>
    <n v="2"/>
    <n v="2"/>
    <x v="1306"/>
    <n v="7653"/>
    <n v="4"/>
    <n v="11"/>
    <n v="3"/>
    <n v="1"/>
    <n v="80"/>
    <n v="2"/>
    <n v="7"/>
    <n v="3"/>
    <n v="5"/>
    <n v="2"/>
    <n v="1"/>
    <n v="4"/>
  </r>
  <r>
    <x v="0"/>
    <s v="Travel_Rarely"/>
    <x v="2"/>
    <s v="Ex-Employees"/>
    <x v="1"/>
    <x v="4"/>
    <x v="1422"/>
    <n v="1522"/>
    <x v="1"/>
    <x v="1"/>
    <x v="0"/>
    <s v="No"/>
    <s v="Y"/>
    <n v="2"/>
    <n v="-2"/>
    <n v="0"/>
    <x v="11"/>
    <x v="0"/>
    <x v="0"/>
    <n v="1"/>
    <n v="0"/>
    <n v="224"/>
    <n v="1"/>
    <x v="2"/>
    <x v="0"/>
    <n v="1"/>
    <n v="100"/>
    <n v="2"/>
    <n v="1"/>
    <n v="1"/>
    <x v="898"/>
    <n v="7568"/>
    <n v="6"/>
    <n v="13"/>
    <n v="3"/>
    <n v="3"/>
    <n v="80"/>
    <n v="0"/>
    <n v="11"/>
    <n v="1"/>
    <n v="9"/>
    <n v="7"/>
    <n v="0"/>
    <n v="7"/>
  </r>
  <r>
    <x v="0"/>
    <s v="Travel_Rarely"/>
    <x v="3"/>
    <s v="Ex-Employees"/>
    <x v="1"/>
    <x v="0"/>
    <x v="1423"/>
    <n v="1907"/>
    <x v="1"/>
    <x v="2"/>
    <x v="0"/>
    <s v="No"/>
    <s v="Y"/>
    <n v="3"/>
    <n v="-2"/>
    <n v="0"/>
    <x v="29"/>
    <x v="0"/>
    <x v="0"/>
    <n v="1"/>
    <n v="0"/>
    <n v="1162"/>
    <n v="24"/>
    <x v="0"/>
    <x v="0"/>
    <n v="1"/>
    <n v="97"/>
    <n v="3"/>
    <n v="1"/>
    <n v="4"/>
    <x v="1181"/>
    <n v="10261"/>
    <n v="1"/>
    <n v="16"/>
    <n v="3"/>
    <n v="4"/>
    <n v="80"/>
    <n v="0"/>
    <n v="5"/>
    <n v="3"/>
    <n v="4"/>
    <n v="2"/>
    <n v="1"/>
    <n v="0"/>
  </r>
  <r>
    <x v="0"/>
    <s v="Travel_Rarely"/>
    <x v="0"/>
    <s v="Ex-Employees"/>
    <x v="1"/>
    <x v="0"/>
    <x v="1424"/>
    <n v="1534"/>
    <x v="1"/>
    <x v="2"/>
    <x v="0"/>
    <s v="No"/>
    <s v="Y"/>
    <n v="3"/>
    <n v="-2"/>
    <n v="0"/>
    <x v="32"/>
    <x v="0"/>
    <x v="0"/>
    <n v="1"/>
    <n v="0"/>
    <n v="676"/>
    <n v="9"/>
    <x v="2"/>
    <x v="0"/>
    <n v="4"/>
    <n v="86"/>
    <n v="3"/>
    <n v="1"/>
    <n v="1"/>
    <x v="1307"/>
    <n v="21831"/>
    <n v="3"/>
    <n v="14"/>
    <n v="3"/>
    <n v="2"/>
    <n v="80"/>
    <n v="0"/>
    <n v="15"/>
    <n v="1"/>
    <n v="5"/>
    <n v="4"/>
    <n v="1"/>
    <n v="0"/>
  </r>
  <r>
    <x v="0"/>
    <s v="Travel_Rarely"/>
    <x v="0"/>
    <s v="Ex-Employees"/>
    <x v="1"/>
    <x v="2"/>
    <x v="1425"/>
    <n v="1809"/>
    <x v="1"/>
    <x v="3"/>
    <x v="0"/>
    <s v="No"/>
    <s v="Y"/>
    <n v="4"/>
    <n v="-2"/>
    <n v="0"/>
    <x v="2"/>
    <x v="0"/>
    <x v="0"/>
    <n v="1"/>
    <n v="0"/>
    <n v="370"/>
    <n v="10"/>
    <x v="2"/>
    <x v="0"/>
    <n v="4"/>
    <n v="58"/>
    <n v="3"/>
    <n v="2"/>
    <n v="1"/>
    <x v="1308"/>
    <n v="4992"/>
    <n v="1"/>
    <n v="15"/>
    <n v="3"/>
    <n v="2"/>
    <n v="80"/>
    <n v="0"/>
    <n v="10"/>
    <n v="1"/>
    <n v="10"/>
    <n v="3"/>
    <n v="0"/>
    <n v="8"/>
  </r>
  <r>
    <x v="0"/>
    <s v="Travel_Rarely"/>
    <x v="2"/>
    <s v="Ex-Employees"/>
    <x v="1"/>
    <x v="0"/>
    <x v="1426"/>
    <n v="1692"/>
    <x v="1"/>
    <x v="2"/>
    <x v="0"/>
    <s v="No"/>
    <s v="Y"/>
    <n v="2"/>
    <n v="-2"/>
    <n v="0"/>
    <x v="5"/>
    <x v="0"/>
    <x v="0"/>
    <n v="1"/>
    <n v="0"/>
    <n v="1259"/>
    <n v="2"/>
    <x v="2"/>
    <x v="0"/>
    <n v="4"/>
    <n v="95"/>
    <n v="3"/>
    <n v="1"/>
    <n v="2"/>
    <x v="1309"/>
    <n v="24852"/>
    <n v="1"/>
    <n v="12"/>
    <n v="3"/>
    <n v="1"/>
    <n v="80"/>
    <n v="0"/>
    <n v="1"/>
    <n v="3"/>
    <n v="1"/>
    <n v="0"/>
    <n v="0"/>
    <n v="0"/>
  </r>
  <r>
    <x v="0"/>
    <s v="Travel_Rarely"/>
    <x v="1"/>
    <s v="Ex-Employees"/>
    <x v="0"/>
    <x v="3"/>
    <x v="1427"/>
    <n v="1457"/>
    <x v="1"/>
    <x v="0"/>
    <x v="2"/>
    <s v="No"/>
    <s v="Y"/>
    <n v="1"/>
    <n v="-2"/>
    <n v="0"/>
    <x v="21"/>
    <x v="0"/>
    <x v="0"/>
    <n v="1"/>
    <n v="0"/>
    <n v="377"/>
    <n v="9"/>
    <x v="3"/>
    <x v="0"/>
    <n v="1"/>
    <n v="52"/>
    <n v="3"/>
    <n v="3"/>
    <n v="1"/>
    <x v="61"/>
    <n v="15986"/>
    <n v="4"/>
    <n v="11"/>
    <n v="3"/>
    <n v="1"/>
    <n v="80"/>
    <n v="1"/>
    <n v="28"/>
    <n v="4"/>
    <n v="7"/>
    <n v="7"/>
    <n v="4"/>
    <n v="3"/>
  </r>
  <r>
    <x v="0"/>
    <s v="Travel_Rarely"/>
    <x v="2"/>
    <s v="Ex-Employees"/>
    <x v="0"/>
    <x v="0"/>
    <x v="1428"/>
    <n v="1439"/>
    <x v="1"/>
    <x v="6"/>
    <x v="1"/>
    <s v="No"/>
    <s v="Y"/>
    <n v="2"/>
    <n v="-2"/>
    <n v="0"/>
    <x v="36"/>
    <x v="0"/>
    <x v="0"/>
    <n v="1"/>
    <n v="0"/>
    <n v="383"/>
    <n v="9"/>
    <x v="0"/>
    <x v="0"/>
    <n v="1"/>
    <n v="68"/>
    <n v="2"/>
    <n v="1"/>
    <n v="1"/>
    <x v="1310"/>
    <n v="15182"/>
    <n v="3"/>
    <n v="12"/>
    <n v="3"/>
    <n v="1"/>
    <n v="80"/>
    <n v="0"/>
    <n v="6"/>
    <n v="3"/>
    <n v="3"/>
    <n v="2"/>
    <n v="2"/>
    <n v="2"/>
  </r>
  <r>
    <x v="0"/>
    <s v="Travel_Rarely"/>
    <x v="0"/>
    <s v="Ex-Employees"/>
    <x v="0"/>
    <x v="2"/>
    <x v="1429"/>
    <n v="1639"/>
    <x v="1"/>
    <x v="0"/>
    <x v="1"/>
    <s v="No"/>
    <s v="Y"/>
    <n v="3"/>
    <n v="-2"/>
    <n v="0"/>
    <x v="10"/>
    <x v="0"/>
    <x v="0"/>
    <n v="1"/>
    <n v="0"/>
    <n v="737"/>
    <n v="10"/>
    <x v="3"/>
    <x v="0"/>
    <n v="4"/>
    <n v="55"/>
    <n v="2"/>
    <n v="3"/>
    <n v="1"/>
    <x v="1311"/>
    <n v="21530"/>
    <n v="9"/>
    <n v="17"/>
    <n v="3"/>
    <n v="3"/>
    <n v="80"/>
    <n v="0"/>
    <n v="15"/>
    <n v="3"/>
    <n v="13"/>
    <n v="12"/>
    <n v="6"/>
    <n v="0"/>
  </r>
  <r>
    <x v="0"/>
    <s v="Travel_Rarely"/>
    <x v="2"/>
    <s v="Ex-Employees"/>
    <x v="0"/>
    <x v="0"/>
    <x v="1430"/>
    <n v="1562"/>
    <x v="1"/>
    <x v="0"/>
    <x v="1"/>
    <s v="No"/>
    <s v="Y"/>
    <n v="4"/>
    <n v="-2"/>
    <n v="0"/>
    <x v="7"/>
    <x v="0"/>
    <x v="0"/>
    <n v="1"/>
    <n v="0"/>
    <n v="740"/>
    <n v="1"/>
    <x v="3"/>
    <x v="0"/>
    <n v="2"/>
    <n v="64"/>
    <n v="2"/>
    <n v="2"/>
    <n v="1"/>
    <x v="1312"/>
    <n v="5323"/>
    <n v="1"/>
    <n v="11"/>
    <n v="3"/>
    <n v="4"/>
    <n v="80"/>
    <n v="1"/>
    <n v="10"/>
    <n v="3"/>
    <n v="10"/>
    <n v="8"/>
    <n v="6"/>
    <n v="7"/>
  </r>
  <r>
    <x v="0"/>
    <s v="Travel_Rarely"/>
    <x v="2"/>
    <s v="Ex-Employees"/>
    <x v="0"/>
    <x v="3"/>
    <x v="1431"/>
    <n v="1761"/>
    <x v="1"/>
    <x v="0"/>
    <x v="1"/>
    <s v="No"/>
    <s v="Y"/>
    <n v="2"/>
    <n v="-2"/>
    <n v="0"/>
    <x v="12"/>
    <x v="0"/>
    <x v="0"/>
    <n v="1"/>
    <n v="0"/>
    <n v="1079"/>
    <n v="16"/>
    <x v="2"/>
    <x v="0"/>
    <n v="1"/>
    <n v="70"/>
    <n v="3"/>
    <n v="3"/>
    <n v="1"/>
    <x v="1313"/>
    <n v="19002"/>
    <n v="2"/>
    <n v="13"/>
    <n v="3"/>
    <n v="1"/>
    <n v="80"/>
    <n v="3"/>
    <n v="10"/>
    <n v="3"/>
    <n v="1"/>
    <n v="0"/>
    <n v="0"/>
    <n v="0"/>
  </r>
  <r>
    <x v="0"/>
    <s v="Travel_Rarely"/>
    <x v="2"/>
    <s v="Ex-Employees"/>
    <x v="0"/>
    <x v="0"/>
    <x v="1432"/>
    <n v="1734"/>
    <x v="1"/>
    <x v="0"/>
    <x v="0"/>
    <s v="No"/>
    <s v="Y"/>
    <n v="2"/>
    <n v="-2"/>
    <n v="0"/>
    <x v="5"/>
    <x v="0"/>
    <x v="0"/>
    <n v="1"/>
    <n v="0"/>
    <n v="964"/>
    <n v="1"/>
    <x v="0"/>
    <x v="0"/>
    <n v="1"/>
    <n v="34"/>
    <n v="1"/>
    <n v="2"/>
    <n v="2"/>
    <x v="1314"/>
    <n v="12147"/>
    <n v="6"/>
    <n v="15"/>
    <n v="3"/>
    <n v="2"/>
    <n v="80"/>
    <n v="0"/>
    <n v="10"/>
    <n v="3"/>
    <n v="0"/>
    <n v="0"/>
    <n v="0"/>
    <n v="0"/>
  </r>
  <r>
    <x v="0"/>
    <s v="Travel_Rarely"/>
    <x v="4"/>
    <s v="Ex-Employees"/>
    <x v="0"/>
    <x v="3"/>
    <x v="1433"/>
    <n v="1780"/>
    <x v="1"/>
    <x v="6"/>
    <x v="0"/>
    <s v="No"/>
    <s v="Y"/>
    <n v="3"/>
    <n v="-2"/>
    <n v="0"/>
    <x v="18"/>
    <x v="0"/>
    <x v="0"/>
    <n v="1"/>
    <n v="0"/>
    <n v="337"/>
    <n v="7"/>
    <x v="1"/>
    <x v="0"/>
    <n v="2"/>
    <n v="31"/>
    <n v="3"/>
    <n v="1"/>
    <n v="1"/>
    <x v="1315"/>
    <n v="4567"/>
    <n v="1"/>
    <n v="13"/>
    <n v="3"/>
    <n v="2"/>
    <n v="80"/>
    <n v="0"/>
    <n v="1"/>
    <n v="3"/>
    <n v="1"/>
    <n v="0"/>
    <n v="1"/>
    <n v="0"/>
  </r>
  <r>
    <x v="0"/>
    <s v="Travel_Rarely"/>
    <x v="2"/>
    <s v="Ex-Employees"/>
    <x v="0"/>
    <x v="2"/>
    <x v="1434"/>
    <n v="1876"/>
    <x v="1"/>
    <x v="6"/>
    <x v="0"/>
    <s v="No"/>
    <s v="Y"/>
    <n v="3"/>
    <n v="-2"/>
    <n v="0"/>
    <x v="7"/>
    <x v="0"/>
    <x v="0"/>
    <n v="1"/>
    <n v="0"/>
    <n v="945"/>
    <n v="9"/>
    <x v="3"/>
    <x v="0"/>
    <n v="2"/>
    <n v="89"/>
    <n v="3"/>
    <n v="1"/>
    <n v="4"/>
    <x v="1316"/>
    <n v="16019"/>
    <n v="1"/>
    <n v="13"/>
    <n v="3"/>
    <n v="3"/>
    <n v="80"/>
    <n v="0"/>
    <n v="1"/>
    <n v="2"/>
    <n v="1"/>
    <n v="0"/>
    <n v="0"/>
    <n v="0"/>
  </r>
  <r>
    <x v="0"/>
    <s v="Travel_Frequently"/>
    <x v="2"/>
    <s v="Ex-Employees"/>
    <x v="1"/>
    <x v="0"/>
    <x v="1435"/>
    <n v="1939"/>
    <x v="0"/>
    <x v="1"/>
    <x v="0"/>
    <s v="Yes"/>
    <s v="Y"/>
    <n v="2"/>
    <n v="-2"/>
    <n v="0"/>
    <x v="5"/>
    <x v="0"/>
    <x v="0"/>
    <n v="1"/>
    <n v="0"/>
    <n v="238"/>
    <n v="5"/>
    <x v="0"/>
    <x v="0"/>
    <n v="1"/>
    <n v="47"/>
    <n v="4"/>
    <n v="1"/>
    <n v="3"/>
    <x v="1317"/>
    <n v="15318"/>
    <n v="3"/>
    <n v="14"/>
    <n v="3"/>
    <n v="1"/>
    <n v="80"/>
    <n v="0"/>
    <n v="8"/>
    <n v="3"/>
    <n v="4"/>
    <n v="1"/>
    <n v="0"/>
    <n v="3"/>
  </r>
  <r>
    <x v="0"/>
    <s v="Travel_Frequently"/>
    <x v="2"/>
    <s v="Ex-Employees"/>
    <x v="1"/>
    <x v="1"/>
    <x v="1436"/>
    <n v="1421"/>
    <x v="0"/>
    <x v="4"/>
    <x v="0"/>
    <s v="Yes"/>
    <s v="Y"/>
    <n v="1"/>
    <n v="-2"/>
    <n v="0"/>
    <x v="11"/>
    <x v="0"/>
    <x v="0"/>
    <n v="1"/>
    <n v="0"/>
    <n v="337"/>
    <n v="14"/>
    <x v="1"/>
    <x v="0"/>
    <n v="3"/>
    <n v="84"/>
    <n v="3"/>
    <n v="3"/>
    <n v="4"/>
    <x v="1318"/>
    <n v="22930"/>
    <n v="0"/>
    <n v="12"/>
    <n v="3"/>
    <n v="1"/>
    <n v="80"/>
    <n v="0"/>
    <n v="9"/>
    <n v="3"/>
    <n v="8"/>
    <n v="7"/>
    <n v="7"/>
    <n v="7"/>
  </r>
  <r>
    <x v="0"/>
    <s v="Travel_Frequently"/>
    <x v="1"/>
    <s v="Ex-Employees"/>
    <x v="0"/>
    <x v="2"/>
    <x v="1437"/>
    <n v="1691"/>
    <x v="0"/>
    <x v="6"/>
    <x v="1"/>
    <s v="Yes"/>
    <s v="Y"/>
    <n v="3"/>
    <n v="-2"/>
    <n v="0"/>
    <x v="26"/>
    <x v="0"/>
    <x v="0"/>
    <n v="1"/>
    <n v="0"/>
    <n v="708"/>
    <n v="7"/>
    <x v="0"/>
    <x v="0"/>
    <n v="4"/>
    <n v="95"/>
    <n v="3"/>
    <n v="1"/>
    <n v="3"/>
    <x v="1319"/>
    <n v="11740"/>
    <n v="2"/>
    <n v="11"/>
    <n v="3"/>
    <n v="3"/>
    <n v="80"/>
    <n v="2"/>
    <n v="19"/>
    <n v="3"/>
    <n v="9"/>
    <n v="7"/>
    <n v="7"/>
    <n v="7"/>
  </r>
  <r>
    <x v="0"/>
    <s v="Travel_Frequently"/>
    <x v="4"/>
    <s v="Ex-Employees"/>
    <x v="0"/>
    <x v="2"/>
    <x v="1438"/>
    <n v="1624"/>
    <x v="0"/>
    <x v="6"/>
    <x v="0"/>
    <s v="Yes"/>
    <s v="Y"/>
    <n v="2"/>
    <n v="-2"/>
    <n v="0"/>
    <x v="41"/>
    <x v="0"/>
    <x v="0"/>
    <n v="1"/>
    <n v="0"/>
    <n v="544"/>
    <n v="3"/>
    <x v="0"/>
    <x v="0"/>
    <n v="2"/>
    <n v="70"/>
    <n v="3"/>
    <n v="1"/>
    <n v="4"/>
    <x v="1320"/>
    <n v="18420"/>
    <n v="1"/>
    <n v="12"/>
    <n v="3"/>
    <n v="3"/>
    <n v="80"/>
    <n v="0"/>
    <n v="0"/>
    <n v="4"/>
    <n v="0"/>
    <n v="0"/>
    <n v="0"/>
    <n v="0"/>
  </r>
  <r>
    <x v="0"/>
    <s v="Travel_Rarely"/>
    <x v="2"/>
    <s v="Ex-Employees"/>
    <x v="2"/>
    <x v="2"/>
    <x v="1439"/>
    <n v="1818"/>
    <x v="0"/>
    <x v="8"/>
    <x v="1"/>
    <s v="Yes"/>
    <s v="Y"/>
    <n v="3"/>
    <n v="-2"/>
    <n v="0"/>
    <x v="25"/>
    <x v="0"/>
    <x v="0"/>
    <n v="1"/>
    <n v="0"/>
    <n v="920"/>
    <n v="20"/>
    <x v="0"/>
    <x v="0"/>
    <n v="4"/>
    <n v="69"/>
    <n v="3"/>
    <n v="1"/>
    <n v="2"/>
    <x v="1321"/>
    <n v="6889"/>
    <n v="0"/>
    <n v="11"/>
    <n v="3"/>
    <n v="3"/>
    <n v="80"/>
    <n v="0"/>
    <n v="6"/>
    <n v="3"/>
    <n v="5"/>
    <n v="1"/>
    <n v="1"/>
    <n v="4"/>
  </r>
  <r>
    <x v="0"/>
    <s v="Travel_Rarely"/>
    <x v="0"/>
    <s v="Ex-Employees"/>
    <x v="1"/>
    <x v="0"/>
    <x v="1440"/>
    <n v="1569"/>
    <x v="0"/>
    <x v="2"/>
    <x v="2"/>
    <s v="Yes"/>
    <s v="Y"/>
    <n v="2"/>
    <n v="-2"/>
    <n v="0"/>
    <x v="10"/>
    <x v="0"/>
    <x v="0"/>
    <n v="1"/>
    <n v="0"/>
    <n v="104"/>
    <n v="2"/>
    <x v="3"/>
    <x v="0"/>
    <n v="1"/>
    <n v="69"/>
    <n v="3"/>
    <n v="1"/>
    <n v="1"/>
    <x v="1322"/>
    <n v="26619"/>
    <n v="1"/>
    <n v="12"/>
    <n v="3"/>
    <n v="4"/>
    <n v="80"/>
    <n v="1"/>
    <n v="1"/>
    <n v="3"/>
    <n v="1"/>
    <n v="0"/>
    <n v="0"/>
    <n v="0"/>
  </r>
  <r>
    <x v="0"/>
    <s v="Travel_Rarely"/>
    <x v="4"/>
    <s v="Ex-Employees"/>
    <x v="1"/>
    <x v="2"/>
    <x v="1441"/>
    <n v="1783"/>
    <x v="0"/>
    <x v="2"/>
    <x v="1"/>
    <s v="Yes"/>
    <s v="Y"/>
    <n v="6"/>
    <n v="-2"/>
    <n v="0"/>
    <x v="15"/>
    <x v="0"/>
    <x v="0"/>
    <n v="1"/>
    <n v="0"/>
    <n v="1294"/>
    <n v="8"/>
    <x v="1"/>
    <x v="0"/>
    <n v="3"/>
    <n v="79"/>
    <n v="3"/>
    <n v="1"/>
    <n v="1"/>
    <x v="1323"/>
    <n v="15999"/>
    <n v="1"/>
    <n v="17"/>
    <n v="3"/>
    <n v="3"/>
    <n v="80"/>
    <n v="0"/>
    <n v="1"/>
    <n v="3"/>
    <n v="1"/>
    <n v="0"/>
    <n v="0"/>
    <n v="0"/>
  </r>
  <r>
    <x v="0"/>
    <s v="Travel_Rarely"/>
    <x v="2"/>
    <s v="Ex-Employees"/>
    <x v="0"/>
    <x v="3"/>
    <x v="1442"/>
    <n v="1933"/>
    <x v="0"/>
    <x v="0"/>
    <x v="0"/>
    <s v="Yes"/>
    <s v="Y"/>
    <n v="0"/>
    <n v="-2"/>
    <n v="0"/>
    <x v="14"/>
    <x v="0"/>
    <x v="0"/>
    <n v="1"/>
    <n v="0"/>
    <n v="1475"/>
    <n v="13"/>
    <x v="0"/>
    <x v="0"/>
    <n v="4"/>
    <n v="84"/>
    <n v="3"/>
    <n v="2"/>
    <n v="1"/>
    <x v="1324"/>
    <n v="23352"/>
    <n v="3"/>
    <n v="11"/>
    <n v="3"/>
    <n v="4"/>
    <n v="80"/>
    <n v="0"/>
    <n v="6"/>
    <n v="3"/>
    <n v="2"/>
    <n v="0"/>
    <n v="2"/>
    <n v="2"/>
  </r>
  <r>
    <x v="0"/>
    <s v="Travel_Frequently"/>
    <x v="0"/>
    <s v="Ex-Employees"/>
    <x v="1"/>
    <x v="2"/>
    <x v="1443"/>
    <n v="1792"/>
    <x v="1"/>
    <x v="1"/>
    <x v="2"/>
    <s v="Yes"/>
    <s v="Y"/>
    <n v="2"/>
    <n v="-2"/>
    <n v="0"/>
    <x v="20"/>
    <x v="0"/>
    <x v="0"/>
    <n v="1"/>
    <n v="0"/>
    <n v="429"/>
    <n v="1"/>
    <x v="0"/>
    <x v="0"/>
    <n v="3"/>
    <n v="99"/>
    <n v="3"/>
    <n v="1"/>
    <n v="2"/>
    <x v="531"/>
    <n v="11092"/>
    <n v="1"/>
    <n v="12"/>
    <n v="3"/>
    <n v="3"/>
    <n v="80"/>
    <n v="3"/>
    <n v="6"/>
    <n v="2"/>
    <n v="5"/>
    <n v="3"/>
    <n v="2"/>
    <n v="3"/>
  </r>
  <r>
    <x v="0"/>
    <s v="Travel_Frequently"/>
    <x v="2"/>
    <s v="Ex-Employees"/>
    <x v="1"/>
    <x v="0"/>
    <x v="1444"/>
    <n v="1464"/>
    <x v="1"/>
    <x v="2"/>
    <x v="1"/>
    <s v="Yes"/>
    <s v="Y"/>
    <n v="2"/>
    <n v="-2"/>
    <n v="0"/>
    <x v="12"/>
    <x v="0"/>
    <x v="0"/>
    <n v="1"/>
    <n v="0"/>
    <n v="523"/>
    <n v="2"/>
    <x v="3"/>
    <x v="0"/>
    <n v="2"/>
    <n v="94"/>
    <n v="3"/>
    <n v="1"/>
    <n v="4"/>
    <x v="1325"/>
    <n v="21081"/>
    <n v="6"/>
    <n v="13"/>
    <n v="3"/>
    <n v="3"/>
    <n v="80"/>
    <n v="1"/>
    <n v="7"/>
    <n v="1"/>
    <n v="2"/>
    <n v="2"/>
    <n v="2"/>
    <n v="2"/>
  </r>
  <r>
    <x v="0"/>
    <s v="Travel_Frequently"/>
    <x v="0"/>
    <s v="Ex-Employees"/>
    <x v="1"/>
    <x v="4"/>
    <x v="1445"/>
    <n v="1767"/>
    <x v="1"/>
    <x v="1"/>
    <x v="1"/>
    <s v="Yes"/>
    <s v="Y"/>
    <n v="4"/>
    <n v="-2"/>
    <n v="0"/>
    <x v="23"/>
    <x v="0"/>
    <x v="0"/>
    <n v="1"/>
    <n v="0"/>
    <n v="807"/>
    <n v="17"/>
    <x v="3"/>
    <x v="0"/>
    <n v="3"/>
    <n v="38"/>
    <n v="2"/>
    <n v="1"/>
    <n v="3"/>
    <x v="1326"/>
    <n v="15587"/>
    <n v="9"/>
    <n v="16"/>
    <n v="3"/>
    <n v="4"/>
    <n v="80"/>
    <n v="1"/>
    <n v="6"/>
    <n v="3"/>
    <n v="1"/>
    <n v="0"/>
    <n v="0"/>
    <n v="0"/>
  </r>
  <r>
    <x v="0"/>
    <s v="Travel_Frequently"/>
    <x v="4"/>
    <s v="Ex-Employees"/>
    <x v="1"/>
    <x v="2"/>
    <x v="1446"/>
    <n v="1494"/>
    <x v="1"/>
    <x v="2"/>
    <x v="0"/>
    <s v="Yes"/>
    <s v="Y"/>
    <n v="2"/>
    <n v="-2"/>
    <n v="0"/>
    <x v="17"/>
    <x v="0"/>
    <x v="0"/>
    <n v="1"/>
    <n v="0"/>
    <n v="381"/>
    <n v="9"/>
    <x v="3"/>
    <x v="0"/>
    <n v="2"/>
    <n v="89"/>
    <n v="3"/>
    <n v="1"/>
    <n v="1"/>
    <x v="1327"/>
    <n v="16998"/>
    <n v="2"/>
    <n v="11"/>
    <n v="3"/>
    <n v="3"/>
    <n v="80"/>
    <n v="0"/>
    <n v="4"/>
    <n v="2"/>
    <n v="0"/>
    <n v="0"/>
    <n v="0"/>
    <n v="0"/>
  </r>
  <r>
    <x v="0"/>
    <s v="Travel_Frequently"/>
    <x v="2"/>
    <s v="Ex-Employees"/>
    <x v="0"/>
    <x v="3"/>
    <x v="1447"/>
    <n v="1967"/>
    <x v="1"/>
    <x v="0"/>
    <x v="1"/>
    <s v="Yes"/>
    <s v="Y"/>
    <n v="4"/>
    <n v="-2"/>
    <n v="0"/>
    <x v="12"/>
    <x v="0"/>
    <x v="0"/>
    <n v="1"/>
    <n v="0"/>
    <n v="754"/>
    <n v="26"/>
    <x v="2"/>
    <x v="0"/>
    <n v="1"/>
    <n v="63"/>
    <n v="3"/>
    <n v="2"/>
    <n v="1"/>
    <x v="1328"/>
    <n v="21075"/>
    <n v="1"/>
    <n v="11"/>
    <n v="3"/>
    <n v="3"/>
    <n v="80"/>
    <n v="0"/>
    <n v="10"/>
    <n v="3"/>
    <n v="10"/>
    <n v="7"/>
    <n v="0"/>
    <n v="8"/>
  </r>
  <r>
    <x v="0"/>
    <s v="Travel_Rarely"/>
    <x v="2"/>
    <s v="Ex-Employees"/>
    <x v="2"/>
    <x v="5"/>
    <x v="1448"/>
    <n v="1844"/>
    <x v="1"/>
    <x v="8"/>
    <x v="2"/>
    <s v="Yes"/>
    <s v="Y"/>
    <n v="3"/>
    <n v="-2"/>
    <n v="0"/>
    <x v="11"/>
    <x v="0"/>
    <x v="0"/>
    <n v="1"/>
    <n v="0"/>
    <n v="350"/>
    <n v="13"/>
    <x v="3"/>
    <x v="0"/>
    <n v="1"/>
    <n v="56"/>
    <n v="2"/>
    <n v="1"/>
    <n v="1"/>
    <x v="1329"/>
    <n v="3157"/>
    <n v="4"/>
    <n v="15"/>
    <n v="3"/>
    <n v="4"/>
    <n v="80"/>
    <n v="3"/>
    <n v="4"/>
    <n v="3"/>
    <n v="2"/>
    <n v="2"/>
    <n v="2"/>
    <n v="0"/>
  </r>
  <r>
    <x v="0"/>
    <s v="Travel_Rarely"/>
    <x v="2"/>
    <s v="Ex-Employees"/>
    <x v="1"/>
    <x v="2"/>
    <x v="1449"/>
    <n v="2027"/>
    <x v="1"/>
    <x v="1"/>
    <x v="1"/>
    <s v="Yes"/>
    <s v="Y"/>
    <n v="3"/>
    <n v="-2"/>
    <n v="0"/>
    <x v="11"/>
    <x v="0"/>
    <x v="0"/>
    <n v="1"/>
    <n v="0"/>
    <n v="1092"/>
    <n v="1"/>
    <x v="2"/>
    <x v="0"/>
    <n v="1"/>
    <n v="36"/>
    <n v="3"/>
    <n v="1"/>
    <n v="4"/>
    <x v="1330"/>
    <n v="26124"/>
    <n v="9"/>
    <n v="14"/>
    <n v="3"/>
    <n v="2"/>
    <n v="80"/>
    <n v="3"/>
    <n v="4"/>
    <n v="4"/>
    <n v="2"/>
    <n v="2"/>
    <n v="2"/>
    <n v="2"/>
  </r>
  <r>
    <x v="0"/>
    <s v="Travel_Rarely"/>
    <x v="2"/>
    <s v="Ex-Employees"/>
    <x v="1"/>
    <x v="2"/>
    <x v="1450"/>
    <n v="1604"/>
    <x v="1"/>
    <x v="2"/>
    <x v="1"/>
    <s v="Yes"/>
    <s v="Y"/>
    <n v="3"/>
    <n v="-2"/>
    <n v="0"/>
    <x v="14"/>
    <x v="0"/>
    <x v="0"/>
    <n v="1"/>
    <n v="0"/>
    <n v="329"/>
    <n v="24"/>
    <x v="3"/>
    <x v="0"/>
    <n v="3"/>
    <n v="51"/>
    <n v="3"/>
    <n v="1"/>
    <n v="2"/>
    <x v="1331"/>
    <n v="7324"/>
    <n v="1"/>
    <n v="17"/>
    <n v="3"/>
    <n v="3"/>
    <n v="80"/>
    <n v="3"/>
    <n v="1"/>
    <n v="3"/>
    <n v="1"/>
    <n v="1"/>
    <n v="0"/>
    <n v="0"/>
  </r>
  <r>
    <x v="0"/>
    <s v="Travel_Rarely"/>
    <x v="0"/>
    <s v="Ex-Employees"/>
    <x v="1"/>
    <x v="0"/>
    <x v="1451"/>
    <n v="1649"/>
    <x v="1"/>
    <x v="2"/>
    <x v="0"/>
    <s v="Yes"/>
    <s v="Y"/>
    <n v="3"/>
    <n v="-2"/>
    <n v="0"/>
    <x v="32"/>
    <x v="0"/>
    <x v="0"/>
    <n v="1"/>
    <n v="0"/>
    <n v="1329"/>
    <n v="7"/>
    <x v="3"/>
    <x v="0"/>
    <n v="1"/>
    <n v="73"/>
    <n v="3"/>
    <n v="1"/>
    <n v="1"/>
    <x v="1332"/>
    <n v="3339"/>
    <n v="3"/>
    <n v="14"/>
    <n v="3"/>
    <n v="2"/>
    <n v="80"/>
    <n v="0"/>
    <n v="10"/>
    <n v="1"/>
    <n v="4"/>
    <n v="2"/>
    <n v="0"/>
    <n v="3"/>
  </r>
  <r>
    <x v="0"/>
    <s v="Travel_Rarely"/>
    <x v="4"/>
    <s v="Ex-Employees"/>
    <x v="1"/>
    <x v="2"/>
    <x v="1452"/>
    <n v="1684"/>
    <x v="1"/>
    <x v="2"/>
    <x v="0"/>
    <s v="Yes"/>
    <s v="Y"/>
    <n v="2"/>
    <n v="-2"/>
    <n v="0"/>
    <x v="30"/>
    <x v="0"/>
    <x v="0"/>
    <n v="1"/>
    <n v="0"/>
    <n v="1320"/>
    <n v="8"/>
    <x v="1"/>
    <x v="0"/>
    <n v="4"/>
    <n v="93"/>
    <n v="2"/>
    <n v="1"/>
    <n v="3"/>
    <x v="1333"/>
    <n v="20586"/>
    <n v="1"/>
    <n v="11"/>
    <n v="3"/>
    <n v="1"/>
    <n v="80"/>
    <n v="0"/>
    <n v="5"/>
    <n v="3"/>
    <n v="5"/>
    <n v="4"/>
    <n v="1"/>
    <n v="2"/>
  </r>
  <r>
    <x v="0"/>
    <s v="Travel_Rarely"/>
    <x v="1"/>
    <s v="Ex-Employees"/>
    <x v="0"/>
    <x v="3"/>
    <x v="1453"/>
    <n v="2055"/>
    <x v="1"/>
    <x v="0"/>
    <x v="2"/>
    <s v="Yes"/>
    <s v="Y"/>
    <n v="3"/>
    <n v="-2"/>
    <n v="0"/>
    <x v="24"/>
    <x v="0"/>
    <x v="0"/>
    <n v="1"/>
    <n v="0"/>
    <n v="410"/>
    <n v="28"/>
    <x v="3"/>
    <x v="0"/>
    <n v="4"/>
    <n v="39"/>
    <n v="2"/>
    <n v="3"/>
    <n v="1"/>
    <x v="1334"/>
    <n v="16586"/>
    <n v="4"/>
    <n v="13"/>
    <n v="3"/>
    <n v="2"/>
    <n v="80"/>
    <n v="1"/>
    <n v="20"/>
    <n v="3"/>
    <n v="3"/>
    <n v="2"/>
    <n v="2"/>
    <n v="0"/>
  </r>
  <r>
    <x v="0"/>
    <s v="Travel_Rarely"/>
    <x v="0"/>
    <s v="Ex-Employees"/>
    <x v="0"/>
    <x v="2"/>
    <x v="1454"/>
    <n v="1645"/>
    <x v="1"/>
    <x v="0"/>
    <x v="2"/>
    <s v="Yes"/>
    <s v="Y"/>
    <n v="2"/>
    <n v="-2"/>
    <n v="0"/>
    <x v="10"/>
    <x v="0"/>
    <x v="0"/>
    <n v="1"/>
    <n v="0"/>
    <n v="763"/>
    <n v="15"/>
    <x v="0"/>
    <x v="0"/>
    <n v="1"/>
    <n v="59"/>
    <n v="1"/>
    <n v="2"/>
    <n v="4"/>
    <x v="1335"/>
    <n v="22098"/>
    <n v="6"/>
    <n v="14"/>
    <n v="3"/>
    <n v="4"/>
    <n v="80"/>
    <n v="2"/>
    <n v="7"/>
    <n v="2"/>
    <n v="2"/>
    <n v="2"/>
    <n v="2"/>
    <n v="2"/>
  </r>
  <r>
    <x v="0"/>
    <s v="Travel_Rarely"/>
    <x v="0"/>
    <s v="Ex-Employees"/>
    <x v="0"/>
    <x v="3"/>
    <x v="1455"/>
    <n v="1733"/>
    <x v="1"/>
    <x v="0"/>
    <x v="2"/>
    <s v="Yes"/>
    <s v="Y"/>
    <n v="3"/>
    <n v="-2"/>
    <n v="0"/>
    <x v="9"/>
    <x v="0"/>
    <x v="0"/>
    <n v="1"/>
    <n v="0"/>
    <n v="1456"/>
    <n v="13"/>
    <x v="4"/>
    <x v="0"/>
    <n v="2"/>
    <n v="96"/>
    <n v="2"/>
    <n v="2"/>
    <n v="1"/>
    <x v="1336"/>
    <n v="8658"/>
    <n v="5"/>
    <n v="13"/>
    <n v="3"/>
    <n v="2"/>
    <n v="80"/>
    <n v="3"/>
    <n v="16"/>
    <n v="3"/>
    <n v="2"/>
    <n v="2"/>
    <n v="2"/>
    <n v="2"/>
  </r>
  <r>
    <x v="0"/>
    <s v="Travel_Rarely"/>
    <x v="1"/>
    <s v="Ex-Employees"/>
    <x v="0"/>
    <x v="0"/>
    <x v="1456"/>
    <n v="1968"/>
    <x v="1"/>
    <x v="0"/>
    <x v="0"/>
    <s v="Yes"/>
    <s v="Y"/>
    <n v="2"/>
    <n v="-2"/>
    <n v="0"/>
    <x v="16"/>
    <x v="0"/>
    <x v="0"/>
    <n v="1"/>
    <n v="0"/>
    <n v="1168"/>
    <n v="24"/>
    <x v="2"/>
    <x v="0"/>
    <n v="1"/>
    <n v="66"/>
    <n v="3"/>
    <n v="3"/>
    <n v="1"/>
    <x v="1337"/>
    <n v="5843"/>
    <n v="6"/>
    <n v="13"/>
    <n v="3"/>
    <n v="2"/>
    <n v="80"/>
    <n v="0"/>
    <n v="15"/>
    <n v="2"/>
    <n v="2"/>
    <n v="2"/>
    <n v="2"/>
    <n v="2"/>
  </r>
  <r>
    <x v="0"/>
    <s v="Travel_Rarely"/>
    <x v="2"/>
    <s v="Ex-Employees"/>
    <x v="0"/>
    <x v="3"/>
    <x v="1457"/>
    <n v="1862"/>
    <x v="1"/>
    <x v="0"/>
    <x v="0"/>
    <s v="Yes"/>
    <s v="Y"/>
    <n v="3"/>
    <n v="-2"/>
    <n v="0"/>
    <x v="5"/>
    <x v="0"/>
    <x v="0"/>
    <n v="1"/>
    <n v="0"/>
    <n v="414"/>
    <n v="2"/>
    <x v="2"/>
    <x v="0"/>
    <n v="3"/>
    <n v="82"/>
    <n v="2"/>
    <n v="2"/>
    <n v="2"/>
    <x v="1338"/>
    <n v="26186"/>
    <n v="7"/>
    <n v="12"/>
    <n v="3"/>
    <n v="3"/>
    <n v="80"/>
    <n v="0"/>
    <n v="7"/>
    <n v="2"/>
    <n v="2"/>
    <n v="2"/>
    <n v="2"/>
    <n v="2"/>
  </r>
  <r>
    <x v="0"/>
    <s v="Travel_Rarely"/>
    <x v="0"/>
    <s v="Ex-Employees"/>
    <x v="0"/>
    <x v="0"/>
    <x v="1458"/>
    <n v="1797"/>
    <x v="1"/>
    <x v="0"/>
    <x v="0"/>
    <s v="Yes"/>
    <s v="Y"/>
    <n v="2"/>
    <n v="-2"/>
    <n v="0"/>
    <x v="10"/>
    <x v="0"/>
    <x v="0"/>
    <n v="1"/>
    <n v="0"/>
    <n v="303"/>
    <n v="27"/>
    <x v="3"/>
    <x v="0"/>
    <n v="3"/>
    <n v="84"/>
    <n v="3"/>
    <n v="2"/>
    <n v="4"/>
    <x v="1339"/>
    <n v="13492"/>
    <n v="1"/>
    <n v="18"/>
    <n v="3"/>
    <n v="4"/>
    <n v="80"/>
    <n v="0"/>
    <n v="10"/>
    <n v="3"/>
    <n v="10"/>
    <n v="7"/>
    <n v="7"/>
    <n v="7"/>
  </r>
  <r>
    <x v="0"/>
    <s v="Travel_Rarely"/>
    <x v="1"/>
    <s v="Ex-Employees"/>
    <x v="1"/>
    <x v="2"/>
    <x v="1459"/>
    <n v="1821"/>
    <x v="0"/>
    <x v="4"/>
    <x v="1"/>
    <s v="No"/>
    <s v="Y"/>
    <n v="2"/>
    <n v="-2"/>
    <n v="0"/>
    <x v="21"/>
    <x v="0"/>
    <x v="0"/>
    <n v="1"/>
    <n v="0"/>
    <n v="261"/>
    <n v="21"/>
    <x v="0"/>
    <x v="0"/>
    <n v="4"/>
    <n v="66"/>
    <n v="3"/>
    <n v="2"/>
    <n v="2"/>
    <x v="1340"/>
    <n v="10842"/>
    <n v="4"/>
    <n v="22"/>
    <n v="4"/>
    <n v="4"/>
    <n v="80"/>
    <n v="1"/>
    <n v="13"/>
    <n v="4"/>
    <n v="9"/>
    <n v="7"/>
    <n v="3"/>
    <n v="7"/>
  </r>
  <r>
    <x v="0"/>
    <s v="Travel_Rarely"/>
    <x v="1"/>
    <s v="Ex-Employees"/>
    <x v="0"/>
    <x v="0"/>
    <x v="1460"/>
    <n v="1869"/>
    <x v="0"/>
    <x v="0"/>
    <x v="1"/>
    <s v="No"/>
    <s v="Y"/>
    <n v="2"/>
    <n v="-2"/>
    <n v="0"/>
    <x v="21"/>
    <x v="0"/>
    <x v="0"/>
    <n v="1"/>
    <n v="0"/>
    <n v="1254"/>
    <n v="10"/>
    <x v="3"/>
    <x v="0"/>
    <n v="3"/>
    <n v="64"/>
    <n v="3"/>
    <n v="3"/>
    <n v="2"/>
    <x v="1341"/>
    <n v="14011"/>
    <n v="5"/>
    <n v="21"/>
    <n v="4"/>
    <n v="3"/>
    <n v="80"/>
    <n v="3"/>
    <n v="14"/>
    <n v="3"/>
    <n v="8"/>
    <n v="7"/>
    <n v="0"/>
    <n v="7"/>
  </r>
  <r>
    <x v="0"/>
    <s v="Travel_Frequently"/>
    <x v="1"/>
    <s v="Ex-Employees"/>
    <x v="1"/>
    <x v="0"/>
    <x v="1461"/>
    <n v="1420"/>
    <x v="1"/>
    <x v="2"/>
    <x v="0"/>
    <s v="No"/>
    <s v="Y"/>
    <n v="2"/>
    <n v="-2"/>
    <n v="0"/>
    <x v="1"/>
    <x v="0"/>
    <x v="0"/>
    <n v="1"/>
    <n v="0"/>
    <n v="1475"/>
    <n v="28"/>
    <x v="0"/>
    <x v="0"/>
    <n v="1"/>
    <n v="97"/>
    <n v="2"/>
    <n v="2"/>
    <n v="1"/>
    <x v="1286"/>
    <n v="22710"/>
    <n v="3"/>
    <n v="20"/>
    <n v="4"/>
    <n v="1"/>
    <n v="80"/>
    <n v="0"/>
    <n v="20"/>
    <n v="3"/>
    <n v="4"/>
    <n v="3"/>
    <n v="1"/>
    <n v="3"/>
  </r>
  <r>
    <x v="0"/>
    <s v="Non-Travel"/>
    <x v="0"/>
    <s v="Ex-Employees"/>
    <x v="1"/>
    <x v="0"/>
    <x v="1462"/>
    <n v="1458"/>
    <x v="0"/>
    <x v="2"/>
    <x v="0"/>
    <s v="Yes"/>
    <s v="Y"/>
    <n v="2"/>
    <n v="-2"/>
    <n v="0"/>
    <x v="22"/>
    <x v="0"/>
    <x v="0"/>
    <n v="1"/>
    <n v="0"/>
    <n v="592"/>
    <n v="2"/>
    <x v="3"/>
    <x v="0"/>
    <n v="1"/>
    <n v="54"/>
    <n v="2"/>
    <n v="1"/>
    <n v="1"/>
    <x v="1342"/>
    <n v="17181"/>
    <n v="2"/>
    <n v="23"/>
    <n v="4"/>
    <n v="2"/>
    <n v="80"/>
    <n v="0"/>
    <n v="11"/>
    <n v="4"/>
    <n v="1"/>
    <n v="0"/>
    <n v="0"/>
    <n v="0"/>
  </r>
  <r>
    <x v="0"/>
    <s v="Travel_Rarely"/>
    <x v="2"/>
    <s v="Ex-Employees"/>
    <x v="0"/>
    <x v="2"/>
    <x v="1463"/>
    <n v="1489"/>
    <x v="0"/>
    <x v="0"/>
    <x v="0"/>
    <s v="Yes"/>
    <s v="Y"/>
    <n v="2"/>
    <n v="-2"/>
    <n v="0"/>
    <x v="13"/>
    <x v="0"/>
    <x v="0"/>
    <n v="1"/>
    <n v="0"/>
    <n v="790"/>
    <n v="24"/>
    <x v="2"/>
    <x v="0"/>
    <n v="1"/>
    <n v="40"/>
    <n v="2"/>
    <n v="2"/>
    <n v="2"/>
    <x v="1343"/>
    <n v="7815"/>
    <n v="0"/>
    <n v="23"/>
    <n v="4"/>
    <n v="3"/>
    <n v="80"/>
    <n v="0"/>
    <n v="16"/>
    <n v="4"/>
    <n v="15"/>
    <n v="9"/>
    <n v="10"/>
    <n v="10"/>
  </r>
  <r>
    <x v="0"/>
    <s v="Travel_Rarely"/>
    <x v="2"/>
    <s v="Ex-Employees"/>
    <x v="0"/>
    <x v="0"/>
    <x v="1464"/>
    <n v="1758"/>
    <x v="0"/>
    <x v="0"/>
    <x v="0"/>
    <s v="Yes"/>
    <s v="Y"/>
    <n v="2"/>
    <n v="-2"/>
    <n v="0"/>
    <x v="3"/>
    <x v="0"/>
    <x v="0"/>
    <n v="1"/>
    <n v="0"/>
    <n v="211"/>
    <n v="16"/>
    <x v="3"/>
    <x v="0"/>
    <n v="1"/>
    <n v="74"/>
    <n v="3"/>
    <n v="3"/>
    <n v="1"/>
    <x v="1344"/>
    <n v="10092"/>
    <n v="2"/>
    <n v="20"/>
    <n v="4"/>
    <n v="3"/>
    <n v="80"/>
    <n v="0"/>
    <n v="11"/>
    <n v="2"/>
    <n v="0"/>
    <n v="0"/>
    <n v="0"/>
    <n v="0"/>
  </r>
  <r>
    <x v="0"/>
    <s v="Non-Travel"/>
    <x v="2"/>
    <s v="Ex-Employees"/>
    <x v="1"/>
    <x v="4"/>
    <x v="1465"/>
    <n v="1905"/>
    <x v="1"/>
    <x v="1"/>
    <x v="1"/>
    <s v="Yes"/>
    <s v="Y"/>
    <n v="2"/>
    <n v="-2"/>
    <n v="0"/>
    <x v="13"/>
    <x v="0"/>
    <x v="0"/>
    <n v="1"/>
    <n v="0"/>
    <n v="967"/>
    <n v="16"/>
    <x v="2"/>
    <x v="0"/>
    <n v="4"/>
    <n v="85"/>
    <n v="1"/>
    <n v="1"/>
    <n v="1"/>
    <x v="1345"/>
    <n v="14460"/>
    <n v="1"/>
    <n v="23"/>
    <n v="4"/>
    <n v="2"/>
    <n v="80"/>
    <n v="1"/>
    <n v="5"/>
    <n v="3"/>
    <n v="5"/>
    <n v="2"/>
    <n v="3"/>
    <n v="0"/>
  </r>
  <r>
    <x v="0"/>
    <s v="Travel_Frequently"/>
    <x v="2"/>
    <s v="Ex-Employees"/>
    <x v="1"/>
    <x v="0"/>
    <x v="1466"/>
    <n v="1868"/>
    <x v="1"/>
    <x v="1"/>
    <x v="0"/>
    <s v="Yes"/>
    <s v="Y"/>
    <n v="3"/>
    <n v="-2"/>
    <n v="0"/>
    <x v="11"/>
    <x v="0"/>
    <x v="0"/>
    <n v="1"/>
    <n v="0"/>
    <n v="459"/>
    <n v="24"/>
    <x v="0"/>
    <x v="0"/>
    <n v="4"/>
    <n v="73"/>
    <n v="2"/>
    <n v="1"/>
    <n v="4"/>
    <x v="1138"/>
    <n v="14753"/>
    <n v="1"/>
    <n v="24"/>
    <n v="4"/>
    <n v="2"/>
    <n v="80"/>
    <n v="0"/>
    <n v="1"/>
    <n v="2"/>
    <n v="1"/>
    <n v="0"/>
    <n v="1"/>
    <n v="0"/>
  </r>
  <r>
    <x v="0"/>
    <s v="Travel_Frequently"/>
    <x v="0"/>
    <s v="Ex-Employees"/>
    <x v="0"/>
    <x v="1"/>
    <x v="1467"/>
    <n v="1667"/>
    <x v="1"/>
    <x v="0"/>
    <x v="0"/>
    <s v="Yes"/>
    <s v="Y"/>
    <n v="2"/>
    <n v="-2"/>
    <n v="0"/>
    <x v="10"/>
    <x v="0"/>
    <x v="0"/>
    <n v="1"/>
    <n v="0"/>
    <n v="880"/>
    <n v="12"/>
    <x v="2"/>
    <x v="0"/>
    <n v="4"/>
    <n v="36"/>
    <n v="3"/>
    <n v="2"/>
    <n v="4"/>
    <x v="1346"/>
    <n v="10414"/>
    <n v="3"/>
    <n v="24"/>
    <n v="4"/>
    <n v="1"/>
    <n v="80"/>
    <n v="0"/>
    <n v="13"/>
    <n v="4"/>
    <n v="11"/>
    <n v="9"/>
    <n v="6"/>
    <n v="7"/>
  </r>
  <r>
    <x v="0"/>
    <s v="Travel_Rarely"/>
    <x v="4"/>
    <s v="Ex-Employees"/>
    <x v="1"/>
    <x v="0"/>
    <x v="1468"/>
    <n v="1878"/>
    <x v="1"/>
    <x v="1"/>
    <x v="0"/>
    <s v="Yes"/>
    <s v="Y"/>
    <n v="2"/>
    <n v="-2"/>
    <n v="0"/>
    <x v="15"/>
    <x v="0"/>
    <x v="0"/>
    <n v="1"/>
    <n v="0"/>
    <n v="391"/>
    <n v="7"/>
    <x v="1"/>
    <x v="0"/>
    <n v="4"/>
    <n v="75"/>
    <n v="3"/>
    <n v="1"/>
    <n v="2"/>
    <x v="1347"/>
    <n v="26092"/>
    <n v="1"/>
    <n v="23"/>
    <n v="4"/>
    <n v="1"/>
    <n v="80"/>
    <n v="0"/>
    <n v="1"/>
    <n v="3"/>
    <n v="1"/>
    <n v="0"/>
    <n v="0"/>
    <n v="0"/>
  </r>
  <r>
    <x v="0"/>
    <s v="Travel_Rarely"/>
    <x v="4"/>
    <s v="Ex-Employees"/>
    <x v="0"/>
    <x v="0"/>
    <x v="1469"/>
    <n v="1702"/>
    <x v="1"/>
    <x v="6"/>
    <x v="2"/>
    <s v="Yes"/>
    <s v="Y"/>
    <n v="2"/>
    <n v="-2"/>
    <n v="0"/>
    <x v="30"/>
    <x v="0"/>
    <x v="0"/>
    <n v="1"/>
    <n v="0"/>
    <n v="427"/>
    <n v="7"/>
    <x v="3"/>
    <x v="0"/>
    <n v="3"/>
    <n v="99"/>
    <n v="3"/>
    <n v="1"/>
    <n v="4"/>
    <x v="1348"/>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92A64C-FCD4-4A51-809E-65752561EA1F}" name="Job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B0A34F-AC39-47E2-8565-C89D14696BA2}" name="Departmen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BE8692-E24C-460F-A407-9287EA6BAA7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A63AB1-36ED-4801-8A6E-2693A855B44A}" name="Marital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2"/>
    </i>
    <i>
      <x/>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F267A-3398-4F96-89F5-DB8945AD229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189D8-66EC-4717-9758-ACA9D8D4AEC4}"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Count"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DA64F3-4BE2-4BCA-BF44-BD08234A6DA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DFBCE6-411F-4795-A4A0-14B0462D6F0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D207D2-D7E6-4AEE-9C4C-4967319BF3D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FD1185-722B-4DA8-8813-AB35D673C43A}" name="Age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478435-4072-446C-8FFB-6129B7CD4F67}"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63F2F6-2B4D-43C7-B7A1-C7CD8D0A7442}"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showAll="0"/>
    <pivotField showAll="0"/>
    <pivotField showAll="0"/>
    <pivotField showAll="0">
      <items count="1350">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1571E39-918B-4516-82DA-9354DB86ACB5}" sourceName="Gender">
  <pivotTables>
    <pivotTable tabId="9" name="PivotTable6"/>
    <pivotTable tabId="14" name="Age Wise Attrition"/>
    <pivotTable tabId="13" name="Department wise Attrition"/>
    <pivotTable tabId="11" name="education by Attrition"/>
    <pivotTable tabId="12" name="Job By Attrition"/>
    <pivotTable tabId="7" name="KPI"/>
    <pivotTable tabId="7" name="PivotTable2"/>
    <pivotTable tabId="7" name="PivotTable3"/>
    <pivotTable tabId="7" name="PivotTable4"/>
    <pivotTable tabId="16" name="Marital Attrition"/>
    <pivotTable tabId="8" name="PivotTable5"/>
    <pivotTable tabId="15" name="PivotTable1"/>
  </pivotTables>
  <data>
    <tabular pivotCacheId="16584095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00D9E5-3E08-46F1-845D-AAE8092AC110}" sourceName="Department">
  <pivotTables>
    <pivotTable tabId="11" name="education by Attrition"/>
    <pivotTable tabId="14" name="Age Wise Attrition"/>
    <pivotTable tabId="13" name="Department wise Attrition"/>
    <pivotTable tabId="9" name="PivotTable6"/>
    <pivotTable tabId="12" name="Job By Attrition"/>
    <pivotTable tabId="7" name="KPI"/>
    <pivotTable tabId="7" name="PivotTable2"/>
    <pivotTable tabId="7" name="PivotTable3"/>
    <pivotTable tabId="7" name="PivotTable4"/>
    <pivotTable tabId="16" name="Marital Attrition"/>
    <pivotTable tabId="8" name="PivotTable5"/>
    <pivotTable tabId="15" name="PivotTable1"/>
  </pivotTables>
  <data>
    <tabular pivotCacheId="16584095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E713477-58E9-4B2F-9507-C100DA7E57F2}" sourceName="Education Field">
  <pivotTables>
    <pivotTable tabId="11" name="education by Attrition"/>
    <pivotTable tabId="14" name="Age Wise Attrition"/>
    <pivotTable tabId="13" name="Department wise Attrition"/>
    <pivotTable tabId="9" name="PivotTable6"/>
    <pivotTable tabId="12" name="Job By Attrition"/>
    <pivotTable tabId="7" name="KPI"/>
    <pivotTable tabId="7" name="PivotTable2"/>
    <pivotTable tabId="7" name="PivotTable3"/>
    <pivotTable tabId="7" name="PivotTable4"/>
    <pivotTable tabId="16" name="Marital Attrition"/>
    <pivotTable tabId="8" name="PivotTable5"/>
    <pivotTable tabId="15" name="PivotTable1"/>
  </pivotTables>
  <data>
    <tabular pivotCacheId="165840950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CF22E6-06CE-4087-AA52-5DF7539551E5}" cache="Slicer_Gender1"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3C2DC93-4795-482E-B057-A2DEE52421EB}" cache="Slicer_Gender1" caption="Gender" rowHeight="257175"/>
  <slicer name="Education Field" xr10:uid="{686B77BD-7C0D-4AC7-95ED-130B56A2EFBA}" cache="Slicer_Education_Field1"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D83DD57-A1CC-4D21-8A41-A3B41830855B}" cache="Slicer_Department" caption="Department" rowHeight="257175"/>
  <slicer name="Education Field 1" xr10:uid="{77C421A5-0997-4165-B10C-92A8FCBDC073}" cache="Slicer_Education_Field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0F26540-8340-4040-B334-8ED4CE3FBCBF}" cache="Slicer_Gender1" style="SlicerStyleDark1" rowHeight="257175"/>
  <slicer name="Department 1" xr10:uid="{13EFF7CE-8D5E-4C61-8E56-70DE0E6F8CB8}" cache="Slicer_Department" style="SlicerStyleDark1" rowHeight="257175"/>
  <slicer name="Education Field 2" xr10:uid="{B71B9D66-47AD-4F88-B3E4-F7671104A329}" cache="Slicer_Education_Field1"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77" dataDxfId="76" totalsRowDxfId="75">
  <autoFilter ref="A1:AR1471" xr:uid="{1CDB32A0-6704-41AD-B476-17082FF547BD}">
    <filterColumn colId="8">
      <filters>
        <filter val="Male"/>
      </filters>
    </filterColumn>
  </autoFilter>
  <tableColumns count="44">
    <tableColumn id="1" xr3:uid="{00000000-0010-0000-0000-000001000000}" name="Attrition" dataDxfId="74"/>
    <tableColumn id="2" xr3:uid="{00000000-0010-0000-0000-000002000000}" name="Business Travel" dataDxfId="73"/>
    <tableColumn id="3" xr3:uid="{00000000-0010-0000-0000-000003000000}" name="CF_age band" dataDxfId="72"/>
    <tableColumn id="4" xr3:uid="{00000000-0010-0000-0000-000004000000}" name="CF_attrition label" dataDxfId="71"/>
    <tableColumn id="5" xr3:uid="{00000000-0010-0000-0000-000005000000}" name="Department" dataDxfId="70"/>
    <tableColumn id="6" xr3:uid="{00000000-0010-0000-0000-000006000000}" name="Education Field" dataDxfId="69"/>
    <tableColumn id="7" xr3:uid="{00000000-0010-0000-0000-000007000000}" name="emp no" dataDxfId="68"/>
    <tableColumn id="8" xr3:uid="{00000000-0010-0000-0000-000008000000}" name="Employee Number" dataDxfId="67"/>
    <tableColumn id="9" xr3:uid="{00000000-0010-0000-0000-000009000000}" name="Gender" dataDxfId="66"/>
    <tableColumn id="10" xr3:uid="{00000000-0010-0000-0000-00000A000000}" name="Job Role" dataDxfId="65"/>
    <tableColumn id="11" xr3:uid="{00000000-0010-0000-0000-00000B000000}" name="Marital Status" dataDxfId="64"/>
    <tableColumn id="12" xr3:uid="{00000000-0010-0000-0000-00000C000000}" name="Over Time" dataDxfId="63"/>
    <tableColumn id="13" xr3:uid="{00000000-0010-0000-0000-00000D000000}" name="Over18" dataDxfId="62"/>
    <tableColumn id="14" xr3:uid="{00000000-0010-0000-0000-00000E000000}" name="Training Times Last Year" dataDxfId="61"/>
    <tableColumn id="15" xr3:uid="{00000000-0010-0000-0000-00000F000000}" name="-2" dataDxfId="60"/>
    <tableColumn id="16" xr3:uid="{00000000-0010-0000-0000-000010000000}" name="0" dataDxfId="59"/>
    <tableColumn id="17" xr3:uid="{00000000-0010-0000-0000-000011000000}" name="Age" dataDxfId="58"/>
    <tableColumn id="18" xr3:uid="{00000000-0010-0000-0000-000012000000}" name="CF_attrition count" dataDxfId="57"/>
    <tableColumn id="19" xr3:uid="{00000000-0010-0000-0000-000013000000}" name="CF_attrition counts" dataDxfId="56"/>
    <tableColumn id="20" xr3:uid="{00000000-0010-0000-0000-000014000000}" name="CF_attrition rate" dataDxfId="55"/>
    <tableColumn id="21" xr3:uid="{00000000-0010-0000-0000-000015000000}" name="CF_current Employee" dataDxfId="54"/>
    <tableColumn id="22" xr3:uid="{00000000-0010-0000-0000-000016000000}" name="Daily Rate" dataDxfId="53"/>
    <tableColumn id="23" xr3:uid="{00000000-0010-0000-0000-000017000000}" name="Distance From Home" dataDxfId="52"/>
    <tableColumn id="24" xr3:uid="{00000000-0010-0000-0000-000018000000}" name="Education" dataDxfId="51"/>
    <tableColumn id="25" xr3:uid="{00000000-0010-0000-0000-000019000000}" name="Employee Count" dataDxfId="50"/>
    <tableColumn id="26" xr3:uid="{00000000-0010-0000-0000-00001A000000}" name="Environment Satisfaction" dataDxfId="49"/>
    <tableColumn id="27" xr3:uid="{00000000-0010-0000-0000-00001B000000}" name="Hourly Rate" dataDxfId="48"/>
    <tableColumn id="28" xr3:uid="{00000000-0010-0000-0000-00001C000000}" name="Job Involvement" dataDxfId="47"/>
    <tableColumn id="29" xr3:uid="{00000000-0010-0000-0000-00001D000000}" name="Job Level" dataDxfId="46"/>
    <tableColumn id="30" xr3:uid="{00000000-0010-0000-0000-00001E000000}" name="Job Satisfaction" dataDxfId="45"/>
    <tableColumn id="31" xr3:uid="{00000000-0010-0000-0000-00001F000000}" name="Monthly Income" dataDxfId="44"/>
    <tableColumn id="32" xr3:uid="{00000000-0010-0000-0000-000020000000}" name="Monthly Rate" dataDxfId="43"/>
    <tableColumn id="33" xr3:uid="{00000000-0010-0000-0000-000021000000}" name="Num Companies Worked" dataDxfId="42"/>
    <tableColumn id="34" xr3:uid="{00000000-0010-0000-0000-000022000000}" name="Percent Salary Hike" dataDxfId="41"/>
    <tableColumn id="35" xr3:uid="{00000000-0010-0000-0000-000023000000}" name="Performance Rating" dataDxfId="40"/>
    <tableColumn id="36" xr3:uid="{00000000-0010-0000-0000-000024000000}" name="Relationship Satisfaction" dataDxfId="39"/>
    <tableColumn id="37" xr3:uid="{00000000-0010-0000-0000-000025000000}" name="Standard Hours" dataDxfId="38"/>
    <tableColumn id="38" xr3:uid="{00000000-0010-0000-0000-000026000000}" name="Stock Option Level" dataDxfId="37"/>
    <tableColumn id="39" xr3:uid="{00000000-0010-0000-0000-000027000000}" name="Total Working Years" dataDxfId="36"/>
    <tableColumn id="40" xr3:uid="{00000000-0010-0000-0000-000028000000}" name="Work Life Balance" dataDxfId="35"/>
    <tableColumn id="41" xr3:uid="{00000000-0010-0000-0000-000029000000}" name="Years At Company" dataDxfId="34"/>
    <tableColumn id="42" xr3:uid="{00000000-0010-0000-0000-00002A000000}" name="Years In Current Role" dataDxfId="33"/>
    <tableColumn id="43" xr3:uid="{00000000-0010-0000-0000-00002B000000}" name="Years Since Last Promotion" dataDxfId="32"/>
    <tableColumn id="44" xr3:uid="{00000000-0010-0000-0000-00002C000000}" name="Years With Curr Manager" dataDxfId="31"/>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4.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C9AB-B98C-4DEE-8EB3-8001BAF8AAEF}">
  <dimension ref="A3:E13"/>
  <sheetViews>
    <sheetView workbookViewId="0">
      <selection activeCell="D19" sqref="D19"/>
    </sheetView>
  </sheetViews>
  <sheetFormatPr defaultRowHeight="15.75" x14ac:dyDescent="0.25"/>
  <cols>
    <col min="1" max="1" width="22.875" bestFit="1" customWidth="1"/>
    <col min="2" max="2" width="21.75" bestFit="1" customWidth="1"/>
    <col min="4" max="4" width="22.875" bestFit="1" customWidth="1"/>
    <col min="5" max="5" width="7.5" bestFit="1" customWidth="1"/>
  </cols>
  <sheetData>
    <row r="3" spans="1:5" x14ac:dyDescent="0.25">
      <c r="A3" s="13" t="s">
        <v>1563</v>
      </c>
      <c r="B3" s="4" t="s">
        <v>1554</v>
      </c>
      <c r="D3" t="s">
        <v>9</v>
      </c>
      <c r="E3" t="s">
        <v>0</v>
      </c>
    </row>
    <row r="4" spans="1:5" x14ac:dyDescent="0.25">
      <c r="A4" s="14" t="s">
        <v>83</v>
      </c>
      <c r="B4" s="15">
        <v>9</v>
      </c>
      <c r="D4" t="str">
        <f>A4</f>
        <v>Healthcare Representative</v>
      </c>
      <c r="E4">
        <f>GETPIVOTDATA("CF_attrition count",$A$3,"Job Role","Healthcare Representative")</f>
        <v>9</v>
      </c>
    </row>
    <row r="5" spans="1:5" x14ac:dyDescent="0.25">
      <c r="A5" s="16" t="s">
        <v>163</v>
      </c>
      <c r="B5" s="17">
        <v>12</v>
      </c>
      <c r="D5" t="str">
        <f t="shared" ref="D5:D12" si="0">A5</f>
        <v>Human Resources</v>
      </c>
      <c r="E5">
        <f>GETPIVOTDATA("CF_attrition count",$A$3,"Job Role","Human Resources")</f>
        <v>12</v>
      </c>
    </row>
    <row r="6" spans="1:5" x14ac:dyDescent="0.25">
      <c r="A6" s="16" t="s">
        <v>68</v>
      </c>
      <c r="B6" s="17">
        <v>62</v>
      </c>
      <c r="D6" t="str">
        <f t="shared" si="0"/>
        <v>Laboratory Technician</v>
      </c>
      <c r="E6">
        <f>GETPIVOTDATA("CF_attrition count",$A$3,"Job Role","Laboratory Technician")</f>
        <v>62</v>
      </c>
    </row>
    <row r="7" spans="1:5" x14ac:dyDescent="0.25">
      <c r="A7" s="16" t="s">
        <v>95</v>
      </c>
      <c r="B7" s="17">
        <v>5</v>
      </c>
      <c r="D7" t="str">
        <f t="shared" si="0"/>
        <v>Manager</v>
      </c>
      <c r="E7">
        <f>GETPIVOTDATA("CF_attrition count",$A$3,"Job Role","Manager")</f>
        <v>5</v>
      </c>
    </row>
    <row r="8" spans="1:5" x14ac:dyDescent="0.25">
      <c r="A8" s="16" t="s">
        <v>81</v>
      </c>
      <c r="B8" s="17">
        <v>10</v>
      </c>
      <c r="D8" t="str">
        <f t="shared" si="0"/>
        <v>Manufacturing Director</v>
      </c>
      <c r="E8">
        <f>GETPIVOTDATA("CF_attrition count",$A$3,"Job Role","Manufacturing Director")</f>
        <v>10</v>
      </c>
    </row>
    <row r="9" spans="1:5" x14ac:dyDescent="0.25">
      <c r="A9" s="16" t="s">
        <v>101</v>
      </c>
      <c r="B9" s="17">
        <v>2</v>
      </c>
      <c r="D9" t="str">
        <f t="shared" si="0"/>
        <v>Research Director</v>
      </c>
      <c r="E9">
        <f>GETPIVOTDATA("CF_attrition count",$A$3,"Job Role","Research Director")</f>
        <v>2</v>
      </c>
    </row>
    <row r="10" spans="1:5" x14ac:dyDescent="0.25">
      <c r="A10" s="16" t="s">
        <v>63</v>
      </c>
      <c r="B10" s="17">
        <v>47</v>
      </c>
      <c r="D10" t="str">
        <f t="shared" si="0"/>
        <v>Research Scientist</v>
      </c>
      <c r="E10">
        <f>GETPIVOTDATA("CF_attrition count",$A$3,"Job Role","Research Scientist")</f>
        <v>47</v>
      </c>
    </row>
    <row r="11" spans="1:5" x14ac:dyDescent="0.25">
      <c r="A11" s="16" t="s">
        <v>52</v>
      </c>
      <c r="B11" s="17">
        <v>57</v>
      </c>
      <c r="D11" t="str">
        <f t="shared" si="0"/>
        <v>Sales Executive</v>
      </c>
      <c r="E11">
        <f>GETPIVOTDATA("CF_attrition count",$A$3,"Job Role","Sales Executive")</f>
        <v>57</v>
      </c>
    </row>
    <row r="12" spans="1:5" x14ac:dyDescent="0.25">
      <c r="A12" s="16" t="s">
        <v>99</v>
      </c>
      <c r="B12" s="17">
        <v>33</v>
      </c>
      <c r="D12" t="str">
        <f t="shared" si="0"/>
        <v>Sales Representative</v>
      </c>
      <c r="E12">
        <f>GETPIVOTDATA("CF_attrition count",$A$3,"Job Role","Sales Representative")</f>
        <v>33</v>
      </c>
    </row>
    <row r="13" spans="1:5" x14ac:dyDescent="0.25">
      <c r="A13" s="18" t="s">
        <v>1564</v>
      </c>
      <c r="B13" s="5">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BD70-CBC7-4238-BD9D-A4E0E0F74F05}">
  <dimension ref="A3:E7"/>
  <sheetViews>
    <sheetView workbookViewId="0">
      <selection activeCell="B4" sqref="B4"/>
    </sheetView>
  </sheetViews>
  <sheetFormatPr defaultRowHeight="15.75" x14ac:dyDescent="0.25"/>
  <cols>
    <col min="1" max="1" width="12.125" bestFit="1" customWidth="1"/>
    <col min="2" max="2" width="22.625" bestFit="1" customWidth="1"/>
    <col min="4" max="4" width="10.5" bestFit="1" customWidth="1"/>
  </cols>
  <sheetData>
    <row r="3" spans="1:5" x14ac:dyDescent="0.25">
      <c r="A3" s="13" t="s">
        <v>1563</v>
      </c>
      <c r="B3" s="4" t="s">
        <v>1566</v>
      </c>
      <c r="D3" t="s">
        <v>4</v>
      </c>
      <c r="E3" t="s">
        <v>0</v>
      </c>
    </row>
    <row r="4" spans="1:5" x14ac:dyDescent="0.25">
      <c r="A4" s="14" t="s">
        <v>161</v>
      </c>
      <c r="B4" s="20">
        <v>5.0632911392405063E-2</v>
      </c>
      <c r="D4" s="3" t="str">
        <f>A4</f>
        <v>HR</v>
      </c>
      <c r="E4" s="8">
        <f>GETPIVOTDATA("CF_attrition counts",$A$3,"Department","HR")</f>
        <v>5.0632911392405063E-2</v>
      </c>
    </row>
    <row r="5" spans="1:5" x14ac:dyDescent="0.25">
      <c r="A5" s="16" t="s">
        <v>60</v>
      </c>
      <c r="B5" s="21">
        <v>0.56118143459915615</v>
      </c>
      <c r="D5" s="3" t="str">
        <f>A5</f>
        <v>R&amp;D</v>
      </c>
      <c r="E5" s="8">
        <f>GETPIVOTDATA("CF_attrition counts",$A$3,"Department","R&amp;D")</f>
        <v>0.56118143459915615</v>
      </c>
    </row>
    <row r="6" spans="1:5" x14ac:dyDescent="0.25">
      <c r="A6" s="16" t="s">
        <v>48</v>
      </c>
      <c r="B6" s="21">
        <v>0.3881856540084388</v>
      </c>
      <c r="D6" s="3" t="str">
        <f>A6</f>
        <v>Sales</v>
      </c>
      <c r="E6" s="8">
        <f>GETPIVOTDATA("CF_attrition counts",$A$3,"Department","Sales")</f>
        <v>0.3881856540084388</v>
      </c>
    </row>
    <row r="7" spans="1:5" x14ac:dyDescent="0.25">
      <c r="A7" s="18" t="s">
        <v>1564</v>
      </c>
      <c r="B7" s="22">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0E16-BD92-4C3D-867F-B2D254101ED8}">
  <dimension ref="A3:C20"/>
  <sheetViews>
    <sheetView workbookViewId="0">
      <selection activeCell="A3" sqref="A3"/>
    </sheetView>
  </sheetViews>
  <sheetFormatPr defaultRowHeight="15.75" x14ac:dyDescent="0.25"/>
  <sheetData>
    <row r="3" spans="1:3" x14ac:dyDescent="0.25">
      <c r="A3" s="23"/>
      <c r="B3" s="24"/>
      <c r="C3" s="25"/>
    </row>
    <row r="4" spans="1:3" x14ac:dyDescent="0.25">
      <c r="A4" s="26"/>
      <c r="B4" s="27"/>
      <c r="C4" s="28"/>
    </row>
    <row r="5" spans="1:3" x14ac:dyDescent="0.25">
      <c r="A5" s="26"/>
      <c r="B5" s="27"/>
      <c r="C5" s="28"/>
    </row>
    <row r="6" spans="1:3" x14ac:dyDescent="0.25">
      <c r="A6" s="26"/>
      <c r="B6" s="27"/>
      <c r="C6" s="28"/>
    </row>
    <row r="7" spans="1:3" x14ac:dyDescent="0.25">
      <c r="A7" s="26"/>
      <c r="B7" s="27"/>
      <c r="C7" s="28"/>
    </row>
    <row r="8" spans="1:3" x14ac:dyDescent="0.25">
      <c r="A8" s="26"/>
      <c r="B8" s="27"/>
      <c r="C8" s="28"/>
    </row>
    <row r="9" spans="1:3" x14ac:dyDescent="0.25">
      <c r="A9" s="26"/>
      <c r="B9" s="27"/>
      <c r="C9" s="28"/>
    </row>
    <row r="10" spans="1:3" x14ac:dyDescent="0.25">
      <c r="A10" s="26"/>
      <c r="B10" s="27"/>
      <c r="C10" s="28"/>
    </row>
    <row r="11" spans="1:3" x14ac:dyDescent="0.25">
      <c r="A11" s="26"/>
      <c r="B11" s="27"/>
      <c r="C11" s="28"/>
    </row>
    <row r="12" spans="1:3" x14ac:dyDescent="0.25">
      <c r="A12" s="26"/>
      <c r="B12" s="27"/>
      <c r="C12" s="28"/>
    </row>
    <row r="13" spans="1:3" x14ac:dyDescent="0.25">
      <c r="A13" s="26"/>
      <c r="B13" s="27"/>
      <c r="C13" s="28"/>
    </row>
    <row r="14" spans="1:3" x14ac:dyDescent="0.25">
      <c r="A14" s="26"/>
      <c r="B14" s="27"/>
      <c r="C14" s="28"/>
    </row>
    <row r="15" spans="1:3" x14ac:dyDescent="0.25">
      <c r="A15" s="26"/>
      <c r="B15" s="27"/>
      <c r="C15" s="28"/>
    </row>
    <row r="16" spans="1:3" x14ac:dyDescent="0.25">
      <c r="A16" s="26"/>
      <c r="B16" s="27"/>
      <c r="C16" s="28"/>
    </row>
    <row r="17" spans="1:3" x14ac:dyDescent="0.25">
      <c r="A17" s="26"/>
      <c r="B17" s="27"/>
      <c r="C17" s="28"/>
    </row>
    <row r="18" spans="1:3" x14ac:dyDescent="0.25">
      <c r="A18" s="26"/>
      <c r="B18" s="27"/>
      <c r="C18" s="28"/>
    </row>
    <row r="19" spans="1:3" x14ac:dyDescent="0.25">
      <c r="A19" s="26"/>
      <c r="B19" s="27"/>
      <c r="C19" s="28"/>
    </row>
    <row r="20" spans="1:3" x14ac:dyDescent="0.25">
      <c r="A20" s="29"/>
      <c r="B20" s="30"/>
      <c r="C20"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1131-E4B6-4E23-8EBD-6F00BE6C6B58}">
  <dimension ref="A3:E7"/>
  <sheetViews>
    <sheetView workbookViewId="0">
      <selection activeCell="B15" sqref="B15"/>
    </sheetView>
  </sheetViews>
  <sheetFormatPr defaultRowHeight="15.75" x14ac:dyDescent="0.25"/>
  <cols>
    <col min="1" max="1" width="12.125" bestFit="1" customWidth="1"/>
    <col min="2" max="2" width="15" bestFit="1" customWidth="1"/>
    <col min="4" max="4" width="12.25" bestFit="1" customWidth="1"/>
  </cols>
  <sheetData>
    <row r="3" spans="1:5" x14ac:dyDescent="0.25">
      <c r="A3" s="13" t="s">
        <v>1563</v>
      </c>
      <c r="B3" s="4" t="s">
        <v>1567</v>
      </c>
      <c r="D3" t="s">
        <v>1568</v>
      </c>
      <c r="E3" t="s">
        <v>0</v>
      </c>
    </row>
    <row r="4" spans="1:5" x14ac:dyDescent="0.25">
      <c r="A4" s="14" t="s">
        <v>79</v>
      </c>
      <c r="B4" s="15">
        <v>327</v>
      </c>
      <c r="D4" t="str">
        <f>A4</f>
        <v>Divorced</v>
      </c>
      <c r="E4">
        <f>GETPIVOTDATA("Attrition",$A$3,"Marital Status","Divorced")</f>
        <v>327</v>
      </c>
    </row>
    <row r="5" spans="1:5" x14ac:dyDescent="0.25">
      <c r="A5" s="16" t="s">
        <v>53</v>
      </c>
      <c r="B5" s="17">
        <v>470</v>
      </c>
      <c r="D5" t="str">
        <f>A5</f>
        <v>Single</v>
      </c>
      <c r="E5">
        <f>GETPIVOTDATA("Attrition",$A$3,"Marital Status","Single")</f>
        <v>470</v>
      </c>
    </row>
    <row r="6" spans="1:5" x14ac:dyDescent="0.25">
      <c r="A6" s="16" t="s">
        <v>64</v>
      </c>
      <c r="B6" s="17">
        <v>673</v>
      </c>
      <c r="D6" t="str">
        <f>A6</f>
        <v>Married</v>
      </c>
      <c r="E6">
        <f>GETPIVOTDATA("Attrition",$A$3,"Marital Status","Married")</f>
        <v>673</v>
      </c>
    </row>
    <row r="7" spans="1:5" x14ac:dyDescent="0.25">
      <c r="A7" s="18" t="s">
        <v>1564</v>
      </c>
      <c r="B7" s="5">
        <v>1470</v>
      </c>
    </row>
  </sheetData>
  <sortState ref="D4:E6">
    <sortCondition descending="1" ref="E4"/>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3" workbookViewId="0">
      <selection activeCell="F23" sqref="F23"/>
    </sheetView>
  </sheetViews>
  <sheetFormatPr defaultColWidth="11.25" defaultRowHeight="15" customHeight="1" x14ac:dyDescent="0.25"/>
  <cols>
    <col min="1" max="1" width="9.75" style="3" customWidth="1"/>
    <col min="2" max="2" width="15.5" style="3" customWidth="1"/>
    <col min="3" max="3" width="13.375" style="3" customWidth="1"/>
    <col min="4" max="4" width="17.5" style="3" customWidth="1"/>
    <col min="5" max="5" width="12.75" style="3" customWidth="1"/>
    <col min="6" max="6" width="17.375" style="3" bestFit="1" customWidth="1"/>
    <col min="7" max="7" width="9" style="3" customWidth="1"/>
    <col min="8" max="8" width="18.125" style="3" customWidth="1"/>
    <col min="9" max="9" width="8.5" style="3" customWidth="1"/>
    <col min="10" max="10" width="23.375" style="3" customWidth="1"/>
    <col min="11" max="11" width="14.5" style="3" customWidth="1"/>
    <col min="12" max="12" width="11.25" style="3" customWidth="1"/>
    <col min="13" max="13" width="8.5" style="3" customWidth="1"/>
    <col min="14" max="14" width="22.75" style="3" customWidth="1"/>
    <col min="15" max="17" width="8.5" style="3" customWidth="1"/>
    <col min="18" max="18" width="17.875" style="3" customWidth="1"/>
    <col min="19" max="19" width="18.625" style="3" customWidth="1"/>
    <col min="20" max="20" width="16.5" style="3" customWidth="1"/>
    <col min="21" max="21" width="20.5" style="3" customWidth="1"/>
    <col min="22" max="22" width="11.125" style="3" customWidth="1"/>
    <col min="23" max="23" width="20.125" style="3" customWidth="1"/>
    <col min="24" max="24" width="16" style="3" customWidth="1"/>
    <col min="25" max="25" width="16.5" style="3" customWidth="1"/>
    <col min="26" max="26" width="23.5" style="3" customWidth="1"/>
    <col min="27" max="27" width="12.5" style="3" customWidth="1"/>
    <col min="28" max="28" width="16.5" style="3" customWidth="1"/>
    <col min="29" max="29" width="10.25" style="3" customWidth="1"/>
    <col min="30" max="30" width="15.625" style="3" customWidth="1"/>
    <col min="31" max="31" width="16.375" style="3" customWidth="1"/>
    <col min="32" max="32" width="14" style="3" customWidth="1"/>
    <col min="33" max="33" width="23.5" style="3" customWidth="1"/>
    <col min="34" max="34" width="18.75" style="3" customWidth="1"/>
    <col min="35" max="35" width="19.125" style="3" customWidth="1"/>
    <col min="36" max="36" width="23.375" style="3" customWidth="1"/>
    <col min="37" max="37" width="15.625" style="3" customWidth="1"/>
    <col min="38" max="38" width="18.25" style="3" customWidth="1"/>
    <col min="39" max="39" width="19.5" style="3" customWidth="1"/>
    <col min="40" max="40" width="17.5" style="3" customWidth="1"/>
    <col min="41" max="41" width="17.875" style="3" customWidth="1"/>
    <col min="42" max="42" width="20.375" style="3" customWidth="1"/>
    <col min="43" max="43" width="25.25" style="3" customWidth="1"/>
    <col min="44" max="44" width="23.625" style="3" customWidth="1"/>
    <col min="45" max="16384" width="11.25" style="3"/>
  </cols>
  <sheetData>
    <row r="1" spans="1:44" s="1" customFormat="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hidden="1" x14ac:dyDescent="0.25">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ht="15.75" x14ac:dyDescent="0.25">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ht="15.75" x14ac:dyDescent="0.25">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ht="15.75" hidden="1" x14ac:dyDescent="0.25">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ht="15.75" x14ac:dyDescent="0.25">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ht="15.75" x14ac:dyDescent="0.25">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ht="15.75" hidden="1" x14ac:dyDescent="0.25">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ht="15.75" x14ac:dyDescent="0.25">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ht="15.75" x14ac:dyDescent="0.25">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ht="15.75" x14ac:dyDescent="0.25">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ht="15.75" x14ac:dyDescent="0.25">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ht="15.75" hidden="1" x14ac:dyDescent="0.25">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ht="15.75" x14ac:dyDescent="0.25">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ht="15.75" x14ac:dyDescent="0.25">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ht="15.75" x14ac:dyDescent="0.25">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ht="15.75" hidden="1" x14ac:dyDescent="0.25">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ht="15.75" x14ac:dyDescent="0.25">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ht="15.75" x14ac:dyDescent="0.25">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ht="15.75" hidden="1" x14ac:dyDescent="0.25">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ht="15.75" x14ac:dyDescent="0.25">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ht="15.75" hidden="1" x14ac:dyDescent="0.25">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ht="15.75" x14ac:dyDescent="0.25">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ht="15.75" hidden="1" x14ac:dyDescent="0.25">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ht="15.75" x14ac:dyDescent="0.25">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ht="15.75" x14ac:dyDescent="0.25">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ht="15.75" hidden="1" x14ac:dyDescent="0.25">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ht="15.75" hidden="1" x14ac:dyDescent="0.25">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ht="15.75" x14ac:dyDescent="0.25">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ht="15.75" hidden="1" x14ac:dyDescent="0.25">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ht="15.75" hidden="1" x14ac:dyDescent="0.25">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ht="15.75" x14ac:dyDescent="0.25">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ht="15.75" x14ac:dyDescent="0.25">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ht="15.75" x14ac:dyDescent="0.25">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ht="15.75" x14ac:dyDescent="0.25">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ht="15.75" x14ac:dyDescent="0.25">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ht="15.75" hidden="1" x14ac:dyDescent="0.25">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ht="15.75" x14ac:dyDescent="0.25">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ht="15.75" hidden="1" x14ac:dyDescent="0.25">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ht="15.75" hidden="1" x14ac:dyDescent="0.25">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ht="15.75" hidden="1" x14ac:dyDescent="0.25">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ht="15.75" x14ac:dyDescent="0.25">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ht="15.75" hidden="1" x14ac:dyDescent="0.25">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ht="15.75" x14ac:dyDescent="0.25">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ht="15.75" x14ac:dyDescent="0.25">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ht="15.75" hidden="1" x14ac:dyDescent="0.25">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ht="15.75" hidden="1" x14ac:dyDescent="0.25">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ht="15.75" x14ac:dyDescent="0.25">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ht="15.75" x14ac:dyDescent="0.25">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ht="15.75" x14ac:dyDescent="0.25">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ht="15.75" x14ac:dyDescent="0.25">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ht="15.75" x14ac:dyDescent="0.25">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ht="15.75" x14ac:dyDescent="0.25">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ht="15.75" hidden="1" x14ac:dyDescent="0.25">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ht="15.75" x14ac:dyDescent="0.25">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ht="15.75" hidden="1" x14ac:dyDescent="0.25">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ht="15.75" hidden="1" x14ac:dyDescent="0.25">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ht="15.75" x14ac:dyDescent="0.25">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ht="15.75" hidden="1" x14ac:dyDescent="0.25">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ht="15.75" x14ac:dyDescent="0.25">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ht="15.75" x14ac:dyDescent="0.25">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ht="15.75" x14ac:dyDescent="0.25">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ht="15.75" hidden="1" x14ac:dyDescent="0.25">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ht="15.75" hidden="1" x14ac:dyDescent="0.25">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ht="15.75" hidden="1" x14ac:dyDescent="0.25">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ht="15.75" hidden="1" x14ac:dyDescent="0.25">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ht="15.75" hidden="1" x14ac:dyDescent="0.25">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ht="15.75" x14ac:dyDescent="0.25">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ht="15.75" x14ac:dyDescent="0.25">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ht="15.75" x14ac:dyDescent="0.25">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ht="15.75" x14ac:dyDescent="0.25">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ht="15.75" hidden="1" x14ac:dyDescent="0.25">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ht="15.75" x14ac:dyDescent="0.25">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ht="15.75" x14ac:dyDescent="0.25">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ht="15.75" x14ac:dyDescent="0.25">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ht="15.75" hidden="1" x14ac:dyDescent="0.25">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ht="15.75" hidden="1" x14ac:dyDescent="0.25">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ht="15.75" x14ac:dyDescent="0.25">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ht="15.75" x14ac:dyDescent="0.25">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ht="15.75" x14ac:dyDescent="0.25">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ht="15.75" x14ac:dyDescent="0.25">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ht="15.75" x14ac:dyDescent="0.25">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ht="15.75" x14ac:dyDescent="0.25">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ht="15.75" x14ac:dyDescent="0.25">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ht="15.75" hidden="1" x14ac:dyDescent="0.25">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ht="15.75" x14ac:dyDescent="0.25">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ht="15.75" x14ac:dyDescent="0.25">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ht="15.75" x14ac:dyDescent="0.25">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ht="15.75" x14ac:dyDescent="0.25">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ht="15.75" x14ac:dyDescent="0.25">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ht="15.75" x14ac:dyDescent="0.25">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ht="15.75" x14ac:dyDescent="0.25">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ht="15.75" x14ac:dyDescent="0.25">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ht="15.75" hidden="1" x14ac:dyDescent="0.25">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ht="15.75" x14ac:dyDescent="0.25">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ht="15.75" x14ac:dyDescent="0.25">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ht="15.75" hidden="1" x14ac:dyDescent="0.25">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ht="15.75" hidden="1" x14ac:dyDescent="0.25">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ht="15.75" x14ac:dyDescent="0.25">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ht="15.75" x14ac:dyDescent="0.25">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ht="15.75" x14ac:dyDescent="0.25">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ht="15.75" x14ac:dyDescent="0.25">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ht="15.75" x14ac:dyDescent="0.25">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ht="15.75" hidden="1" x14ac:dyDescent="0.25">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ht="15.75" hidden="1" x14ac:dyDescent="0.25">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ht="15.75" x14ac:dyDescent="0.25">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ht="15.75" hidden="1" x14ac:dyDescent="0.25">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ht="15.75" hidden="1" x14ac:dyDescent="0.25">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ht="15.75" x14ac:dyDescent="0.25">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ht="15.75" x14ac:dyDescent="0.25">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ht="15.75" hidden="1" x14ac:dyDescent="0.25">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ht="15.75" hidden="1" x14ac:dyDescent="0.25">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ht="15.75" x14ac:dyDescent="0.25">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ht="15.75" hidden="1" x14ac:dyDescent="0.25">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ht="15.75" x14ac:dyDescent="0.25">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ht="15.75" hidden="1" x14ac:dyDescent="0.25">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ht="15.75" x14ac:dyDescent="0.25">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ht="15.75" hidden="1" x14ac:dyDescent="0.25">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ht="15.75" hidden="1" x14ac:dyDescent="0.25">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ht="15.75" hidden="1" x14ac:dyDescent="0.25">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ht="15.75" x14ac:dyDescent="0.25">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ht="15.75" x14ac:dyDescent="0.25">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ht="15.75" x14ac:dyDescent="0.25">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ht="15.75" hidden="1" x14ac:dyDescent="0.25">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ht="15.75" x14ac:dyDescent="0.25">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ht="15.75" x14ac:dyDescent="0.25">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ht="15.75" hidden="1" x14ac:dyDescent="0.25">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ht="15.75" hidden="1" x14ac:dyDescent="0.25">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ht="15.75" x14ac:dyDescent="0.25">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ht="15.75" x14ac:dyDescent="0.25">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ht="15.75" hidden="1" x14ac:dyDescent="0.25">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ht="15.75" hidden="1" x14ac:dyDescent="0.25">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ht="15.75" hidden="1" x14ac:dyDescent="0.25">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ht="15.75" hidden="1" x14ac:dyDescent="0.25">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ht="15.75" x14ac:dyDescent="0.25">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ht="15.75" hidden="1" x14ac:dyDescent="0.25">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ht="15.75" x14ac:dyDescent="0.25">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ht="15.75" x14ac:dyDescent="0.25">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ht="15.75" hidden="1" x14ac:dyDescent="0.25">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ht="15.75" x14ac:dyDescent="0.25">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ht="15.75" x14ac:dyDescent="0.25">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ht="15.75" hidden="1" x14ac:dyDescent="0.25">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ht="15.75" x14ac:dyDescent="0.25">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ht="15.75" hidden="1" x14ac:dyDescent="0.25">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ht="15.75" hidden="1" x14ac:dyDescent="0.25">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ht="15.75" x14ac:dyDescent="0.25">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ht="15.75" hidden="1" x14ac:dyDescent="0.25">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ht="15.75" x14ac:dyDescent="0.25">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ht="15.75" x14ac:dyDescent="0.25">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ht="15.75" x14ac:dyDescent="0.25">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ht="15.75" hidden="1" x14ac:dyDescent="0.25">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ht="15.75" hidden="1" x14ac:dyDescent="0.25">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ht="15.75" x14ac:dyDescent="0.25">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ht="15.75" x14ac:dyDescent="0.25">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ht="15.75" x14ac:dyDescent="0.25">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ht="15.75" hidden="1" x14ac:dyDescent="0.25">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ht="15.75" x14ac:dyDescent="0.25">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ht="15.75" x14ac:dyDescent="0.25">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ht="15.75" hidden="1" x14ac:dyDescent="0.25">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ht="15.75" x14ac:dyDescent="0.25">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ht="15.75" hidden="1" x14ac:dyDescent="0.25">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ht="15.75" x14ac:dyDescent="0.25">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ht="15.75" x14ac:dyDescent="0.25">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ht="15.75" x14ac:dyDescent="0.25">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ht="15.75" x14ac:dyDescent="0.25">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ht="15.75" x14ac:dyDescent="0.25">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ht="15.75" hidden="1" x14ac:dyDescent="0.25">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ht="15.75" x14ac:dyDescent="0.25">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ht="15.75" hidden="1" x14ac:dyDescent="0.25">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ht="15.75" hidden="1" x14ac:dyDescent="0.25">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ht="15.75" x14ac:dyDescent="0.25">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ht="15.75" x14ac:dyDescent="0.25">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ht="15.75" hidden="1" x14ac:dyDescent="0.25">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ht="15.75" x14ac:dyDescent="0.25">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ht="15.75" x14ac:dyDescent="0.25">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ht="15.75" hidden="1" x14ac:dyDescent="0.25">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ht="15.75" hidden="1" x14ac:dyDescent="0.25">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ht="15.75" x14ac:dyDescent="0.25">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ht="15.75" x14ac:dyDescent="0.25">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ht="15.75" hidden="1" x14ac:dyDescent="0.25">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ht="15.75" hidden="1" x14ac:dyDescent="0.25">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ht="15.75" hidden="1" x14ac:dyDescent="0.25">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ht="15.75" hidden="1" x14ac:dyDescent="0.25">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ht="15.75" hidden="1" x14ac:dyDescent="0.25">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ht="15.75" x14ac:dyDescent="0.25">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ht="15.75" hidden="1" x14ac:dyDescent="0.25">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ht="15.75" hidden="1" x14ac:dyDescent="0.25">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ht="15.75" hidden="1" x14ac:dyDescent="0.25">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ht="15.75" x14ac:dyDescent="0.25">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ht="15.75" x14ac:dyDescent="0.25">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ht="15.75" hidden="1" x14ac:dyDescent="0.25">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ht="15.75" x14ac:dyDescent="0.25">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ht="15.75" hidden="1" x14ac:dyDescent="0.25">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ht="15.75" x14ac:dyDescent="0.25">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ht="15.75" x14ac:dyDescent="0.25">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ht="15.75" x14ac:dyDescent="0.25">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ht="15.75" x14ac:dyDescent="0.25">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ht="15.75" hidden="1" x14ac:dyDescent="0.25">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ht="15.75" hidden="1" x14ac:dyDescent="0.25">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ht="15.75" x14ac:dyDescent="0.25">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ht="15.75" x14ac:dyDescent="0.25">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ht="15.75" x14ac:dyDescent="0.25">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ht="15.75" x14ac:dyDescent="0.25">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ht="15.75" x14ac:dyDescent="0.25">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ht="15.75" x14ac:dyDescent="0.25">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ht="15.75" x14ac:dyDescent="0.25">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ht="15.75" hidden="1" x14ac:dyDescent="0.25">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ht="15.75" x14ac:dyDescent="0.25">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ht="15.75" hidden="1" x14ac:dyDescent="0.25">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ht="15.75" x14ac:dyDescent="0.25">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ht="15.75" x14ac:dyDescent="0.25">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ht="15.75" x14ac:dyDescent="0.25">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ht="15.75" x14ac:dyDescent="0.25">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ht="15.75" hidden="1" x14ac:dyDescent="0.25">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ht="15.75" x14ac:dyDescent="0.25">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ht="15.75" hidden="1" x14ac:dyDescent="0.25">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ht="15.75" hidden="1" x14ac:dyDescent="0.25">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ht="15.75" hidden="1" x14ac:dyDescent="0.25">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ht="15.75" x14ac:dyDescent="0.25">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ht="15.75" hidden="1" x14ac:dyDescent="0.25">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ht="15.75" hidden="1" x14ac:dyDescent="0.25">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ht="15.75" x14ac:dyDescent="0.25">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ht="15.75" hidden="1" x14ac:dyDescent="0.25">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ht="15.75" x14ac:dyDescent="0.25">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ht="15.75" x14ac:dyDescent="0.25">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ht="15.75" x14ac:dyDescent="0.25">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ht="15.75" x14ac:dyDescent="0.25">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ht="15.75" x14ac:dyDescent="0.25">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ht="15.75" hidden="1" x14ac:dyDescent="0.25">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ht="15.75" hidden="1" x14ac:dyDescent="0.25">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ht="15.75" x14ac:dyDescent="0.25">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ht="15.75" hidden="1" x14ac:dyDescent="0.25">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ht="15.75" x14ac:dyDescent="0.25">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ht="15.75" x14ac:dyDescent="0.25">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ht="15.75" hidden="1" x14ac:dyDescent="0.25">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ht="15.75" x14ac:dyDescent="0.25">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ht="15.75" hidden="1" x14ac:dyDescent="0.25">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ht="15.75" hidden="1" x14ac:dyDescent="0.25">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ht="15.75" x14ac:dyDescent="0.25">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ht="15.75" hidden="1" x14ac:dyDescent="0.25">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ht="15.75" x14ac:dyDescent="0.25">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ht="15.75" hidden="1" x14ac:dyDescent="0.25">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ht="15.75" x14ac:dyDescent="0.25">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ht="15.75" x14ac:dyDescent="0.25">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ht="15.75" x14ac:dyDescent="0.25">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ht="15.75" x14ac:dyDescent="0.25">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ht="15.75" x14ac:dyDescent="0.25">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ht="15.75" hidden="1" x14ac:dyDescent="0.25">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ht="15.75" x14ac:dyDescent="0.25">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ht="15.75" hidden="1" x14ac:dyDescent="0.25">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ht="15.75" x14ac:dyDescent="0.25">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ht="15.75" x14ac:dyDescent="0.25">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ht="15.75" hidden="1" x14ac:dyDescent="0.25">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ht="15.75" x14ac:dyDescent="0.25">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ht="15.75" hidden="1" x14ac:dyDescent="0.25">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ht="15.75" x14ac:dyDescent="0.25">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ht="15.75" hidden="1" x14ac:dyDescent="0.25">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ht="15.75" hidden="1" x14ac:dyDescent="0.25">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ht="15.75" x14ac:dyDescent="0.25">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ht="15.75" x14ac:dyDescent="0.25">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ht="15.75" x14ac:dyDescent="0.25">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ht="15.75" x14ac:dyDescent="0.25">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ht="15.75" x14ac:dyDescent="0.25">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ht="15.75" x14ac:dyDescent="0.25">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ht="15.75" hidden="1" x14ac:dyDescent="0.25">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ht="15.75" x14ac:dyDescent="0.25">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ht="15.75" x14ac:dyDescent="0.25">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ht="15.75" x14ac:dyDescent="0.25">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ht="15.75" x14ac:dyDescent="0.25">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ht="15.75" x14ac:dyDescent="0.25">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ht="15.75" x14ac:dyDescent="0.25">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ht="15.75" x14ac:dyDescent="0.25">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ht="15.75" x14ac:dyDescent="0.25">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ht="15.75" x14ac:dyDescent="0.25">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ht="15.75" x14ac:dyDescent="0.25">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ht="15.75" x14ac:dyDescent="0.25">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ht="15.75" hidden="1" x14ac:dyDescent="0.25">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ht="15.75" hidden="1" x14ac:dyDescent="0.25">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ht="15.75" hidden="1" x14ac:dyDescent="0.25">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ht="15.75" hidden="1" x14ac:dyDescent="0.25">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ht="15.75" x14ac:dyDescent="0.25">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ht="15.75" x14ac:dyDescent="0.25">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ht="15.75" x14ac:dyDescent="0.25">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ht="15.75" x14ac:dyDescent="0.25">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ht="15.75" x14ac:dyDescent="0.25">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ht="15.75" x14ac:dyDescent="0.25">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ht="15.75" hidden="1" x14ac:dyDescent="0.25">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ht="15.75" x14ac:dyDescent="0.25">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ht="15.75" x14ac:dyDescent="0.25">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ht="15.75" x14ac:dyDescent="0.25">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ht="15.75" hidden="1" x14ac:dyDescent="0.25">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ht="15.75" hidden="1" x14ac:dyDescent="0.25">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ht="15.75" x14ac:dyDescent="0.25">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ht="15.75" hidden="1" x14ac:dyDescent="0.25">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ht="15.75" x14ac:dyDescent="0.25">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ht="15.75" x14ac:dyDescent="0.25">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ht="15.75" hidden="1" x14ac:dyDescent="0.25">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ht="15.75" x14ac:dyDescent="0.25">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ht="15.75" x14ac:dyDescent="0.25">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ht="15.75" x14ac:dyDescent="0.25">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ht="15.75" x14ac:dyDescent="0.25">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ht="15.75" x14ac:dyDescent="0.25">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ht="15.75" hidden="1" x14ac:dyDescent="0.25">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ht="15.75" x14ac:dyDescent="0.25">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ht="15.75" x14ac:dyDescent="0.25">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ht="15.75" x14ac:dyDescent="0.25">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ht="15.75" hidden="1" x14ac:dyDescent="0.25">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ht="15.75" x14ac:dyDescent="0.25">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ht="15.75" hidden="1" x14ac:dyDescent="0.25">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ht="15.75" x14ac:dyDescent="0.25">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ht="15.75" x14ac:dyDescent="0.25">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ht="15.75" x14ac:dyDescent="0.25">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ht="15.75" x14ac:dyDescent="0.25">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ht="15.75" x14ac:dyDescent="0.25">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ht="15.75" hidden="1" x14ac:dyDescent="0.25">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ht="15.75" x14ac:dyDescent="0.25">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ht="15.75" hidden="1" x14ac:dyDescent="0.25">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ht="15.75" hidden="1" x14ac:dyDescent="0.25">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ht="15.75" x14ac:dyDescent="0.25">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ht="15.75" hidden="1" x14ac:dyDescent="0.25">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ht="15.75" hidden="1" x14ac:dyDescent="0.25">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ht="15.75" x14ac:dyDescent="0.25">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ht="15.75" x14ac:dyDescent="0.25">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ht="15.75" hidden="1" x14ac:dyDescent="0.25">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ht="15.75" x14ac:dyDescent="0.25">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ht="15.75" hidden="1" x14ac:dyDescent="0.25">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ht="15.75" hidden="1" x14ac:dyDescent="0.25">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ht="15.75" x14ac:dyDescent="0.25">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ht="15.75" hidden="1" x14ac:dyDescent="0.25">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ht="15.75" x14ac:dyDescent="0.25">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ht="15.75" x14ac:dyDescent="0.25">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ht="15.75" hidden="1" x14ac:dyDescent="0.25">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ht="15.75" x14ac:dyDescent="0.25">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ht="15.75" hidden="1" x14ac:dyDescent="0.25">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ht="15.75" hidden="1" x14ac:dyDescent="0.25">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ht="15.75" x14ac:dyDescent="0.25">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ht="15.75" x14ac:dyDescent="0.25">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ht="15.75" x14ac:dyDescent="0.25">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ht="15.75" x14ac:dyDescent="0.25">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ht="15.75" hidden="1" x14ac:dyDescent="0.25">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ht="15.75" hidden="1" x14ac:dyDescent="0.25">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ht="15.75" x14ac:dyDescent="0.25">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ht="15.75" x14ac:dyDescent="0.25">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ht="15.75" hidden="1" x14ac:dyDescent="0.25">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ht="15.75" hidden="1" x14ac:dyDescent="0.25">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ht="15.75" x14ac:dyDescent="0.25">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ht="15.75" x14ac:dyDescent="0.25">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ht="15.75" x14ac:dyDescent="0.25">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ht="15.75" x14ac:dyDescent="0.25">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ht="15.75" hidden="1" x14ac:dyDescent="0.25">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ht="15.75" x14ac:dyDescent="0.25">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ht="15.75" x14ac:dyDescent="0.25">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ht="15.75" hidden="1" x14ac:dyDescent="0.25">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ht="15.75" hidden="1" x14ac:dyDescent="0.25">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ht="15.75" x14ac:dyDescent="0.25">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ht="15.75" hidden="1" x14ac:dyDescent="0.25">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ht="15.75" x14ac:dyDescent="0.25">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ht="15.75" x14ac:dyDescent="0.25">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ht="15.75" hidden="1" x14ac:dyDescent="0.25">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ht="15.75" hidden="1" x14ac:dyDescent="0.25">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ht="15.75" x14ac:dyDescent="0.25">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ht="15.75" x14ac:dyDescent="0.25">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ht="15.75" hidden="1" x14ac:dyDescent="0.25">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ht="15.75" x14ac:dyDescent="0.25">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ht="15.75" hidden="1" x14ac:dyDescent="0.25">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ht="15.75" hidden="1" x14ac:dyDescent="0.25">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ht="15.75" hidden="1" x14ac:dyDescent="0.25">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ht="15.75" x14ac:dyDescent="0.25">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ht="15.75" x14ac:dyDescent="0.25">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ht="15.75" x14ac:dyDescent="0.25">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ht="15.75" x14ac:dyDescent="0.25">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ht="15.75" hidden="1" x14ac:dyDescent="0.25">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ht="15.75" x14ac:dyDescent="0.25">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ht="15.75" x14ac:dyDescent="0.25">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ht="15.75" x14ac:dyDescent="0.25">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ht="15.75" x14ac:dyDescent="0.25">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ht="15.75" x14ac:dyDescent="0.25">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ht="15.75" hidden="1" x14ac:dyDescent="0.25">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ht="15.75" hidden="1" x14ac:dyDescent="0.25">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ht="15.75" x14ac:dyDescent="0.25">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ht="15.75" hidden="1" x14ac:dyDescent="0.25">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ht="15.75" hidden="1" x14ac:dyDescent="0.25">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ht="15.75" x14ac:dyDescent="0.25">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ht="15.75" x14ac:dyDescent="0.25">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ht="15.75" hidden="1" x14ac:dyDescent="0.25">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ht="15.75" x14ac:dyDescent="0.25">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ht="15.75" x14ac:dyDescent="0.25">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ht="15.75" hidden="1" x14ac:dyDescent="0.25">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ht="15.75" hidden="1" x14ac:dyDescent="0.25">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ht="15.75" hidden="1" x14ac:dyDescent="0.25">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ht="15.75" x14ac:dyDescent="0.25">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ht="15.75" x14ac:dyDescent="0.25">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ht="15.75" hidden="1" x14ac:dyDescent="0.25">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ht="15.75" x14ac:dyDescent="0.25">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ht="15.75" hidden="1" x14ac:dyDescent="0.25">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ht="15.75" hidden="1" x14ac:dyDescent="0.25">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ht="15.75" x14ac:dyDescent="0.25">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ht="15.75" hidden="1" x14ac:dyDescent="0.25">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ht="15.75" hidden="1" x14ac:dyDescent="0.25">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ht="15.75" hidden="1" x14ac:dyDescent="0.25">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ht="15.75" x14ac:dyDescent="0.25">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ht="15.75" x14ac:dyDescent="0.25">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ht="15.75" hidden="1" x14ac:dyDescent="0.25">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ht="15.75" hidden="1" x14ac:dyDescent="0.25">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ht="15.75" x14ac:dyDescent="0.25">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ht="15.75" x14ac:dyDescent="0.25">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ht="15.75" x14ac:dyDescent="0.25">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ht="15.75" x14ac:dyDescent="0.25">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ht="15.75" x14ac:dyDescent="0.25">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ht="15.75" hidden="1" x14ac:dyDescent="0.25">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ht="15.75" hidden="1" x14ac:dyDescent="0.25">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ht="15.75" hidden="1" x14ac:dyDescent="0.25">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ht="15.75" hidden="1" x14ac:dyDescent="0.25">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ht="15.75" hidden="1" x14ac:dyDescent="0.25">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ht="15.75" hidden="1" x14ac:dyDescent="0.25">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ht="15.75" hidden="1" x14ac:dyDescent="0.25">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ht="15.75" hidden="1" x14ac:dyDescent="0.25">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ht="15.75" x14ac:dyDescent="0.25">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ht="15.75" hidden="1" x14ac:dyDescent="0.25">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ht="15.75" hidden="1" x14ac:dyDescent="0.25">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ht="15.75" x14ac:dyDescent="0.25">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ht="15.75" x14ac:dyDescent="0.25">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ht="15.75" hidden="1" x14ac:dyDescent="0.25">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ht="15.75" x14ac:dyDescent="0.25">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ht="15.75" hidden="1" x14ac:dyDescent="0.25">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ht="15.75" x14ac:dyDescent="0.25">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ht="15.75" x14ac:dyDescent="0.25">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ht="15.75" hidden="1" x14ac:dyDescent="0.25">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ht="15.75" hidden="1" x14ac:dyDescent="0.25">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ht="15.75" hidden="1" x14ac:dyDescent="0.25">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ht="15.75" x14ac:dyDescent="0.25">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ht="15.75" x14ac:dyDescent="0.25">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ht="15.75" hidden="1" x14ac:dyDescent="0.25">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ht="15.75" x14ac:dyDescent="0.25">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ht="15.75" hidden="1" x14ac:dyDescent="0.25">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ht="15.75" x14ac:dyDescent="0.25">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ht="15.75" x14ac:dyDescent="0.25">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ht="15.75" x14ac:dyDescent="0.25">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ht="15.75" x14ac:dyDescent="0.25">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ht="15.75" x14ac:dyDescent="0.25">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ht="15.75" x14ac:dyDescent="0.25">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ht="15.75" hidden="1" x14ac:dyDescent="0.25">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ht="15.75" x14ac:dyDescent="0.25">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ht="15.75" x14ac:dyDescent="0.25">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ht="15.75" x14ac:dyDescent="0.25">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ht="15.75" hidden="1" x14ac:dyDescent="0.25">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ht="15.75" hidden="1" x14ac:dyDescent="0.25">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ht="15.75" x14ac:dyDescent="0.25">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ht="15.75" x14ac:dyDescent="0.25">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ht="15.75" hidden="1" x14ac:dyDescent="0.25">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ht="15.75" hidden="1" x14ac:dyDescent="0.25">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ht="15.75" x14ac:dyDescent="0.25">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ht="15.75" x14ac:dyDescent="0.25">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ht="15.75" x14ac:dyDescent="0.25">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ht="15.75" hidden="1" x14ac:dyDescent="0.25">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ht="15.75" x14ac:dyDescent="0.25">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ht="15.75" hidden="1" x14ac:dyDescent="0.25">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ht="15.75" x14ac:dyDescent="0.25">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ht="15.75" x14ac:dyDescent="0.25">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ht="15.75" x14ac:dyDescent="0.25">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ht="15.75" hidden="1" x14ac:dyDescent="0.25">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ht="15.75" x14ac:dyDescent="0.25">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ht="15.75" hidden="1" x14ac:dyDescent="0.25">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ht="15.75" x14ac:dyDescent="0.25">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ht="15.75" x14ac:dyDescent="0.25">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ht="15.75" hidden="1" x14ac:dyDescent="0.25">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ht="15.75" hidden="1" x14ac:dyDescent="0.25">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ht="15.75" hidden="1" x14ac:dyDescent="0.25">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ht="15.75" x14ac:dyDescent="0.25">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ht="15.75" x14ac:dyDescent="0.25">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ht="15.75" x14ac:dyDescent="0.25">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ht="15.75" x14ac:dyDescent="0.25">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ht="15.75" hidden="1" x14ac:dyDescent="0.25">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ht="15.75" hidden="1" x14ac:dyDescent="0.25">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ht="15.75" x14ac:dyDescent="0.25">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ht="15.75" x14ac:dyDescent="0.25">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ht="15.75" x14ac:dyDescent="0.25">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ht="15.75" x14ac:dyDescent="0.25">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ht="15.75" x14ac:dyDescent="0.25">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ht="15.75" x14ac:dyDescent="0.25">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ht="15.75" hidden="1" x14ac:dyDescent="0.25">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ht="15.75" x14ac:dyDescent="0.25">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ht="15.75" x14ac:dyDescent="0.25">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ht="15.75" x14ac:dyDescent="0.25">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ht="15.75" x14ac:dyDescent="0.25">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ht="15.75" x14ac:dyDescent="0.25">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ht="15.75" hidden="1" x14ac:dyDescent="0.25">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ht="15.75" x14ac:dyDescent="0.25">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ht="15.75" hidden="1" x14ac:dyDescent="0.25">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ht="15.75" hidden="1" x14ac:dyDescent="0.25">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ht="15.75" x14ac:dyDescent="0.25">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ht="15.75" hidden="1" x14ac:dyDescent="0.25">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ht="15.75" x14ac:dyDescent="0.25">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ht="15.75" hidden="1" x14ac:dyDescent="0.25">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ht="15.75" hidden="1" x14ac:dyDescent="0.25">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ht="15.75" hidden="1" x14ac:dyDescent="0.25">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ht="15.75" x14ac:dyDescent="0.25">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ht="15.75" x14ac:dyDescent="0.25">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ht="15.75" x14ac:dyDescent="0.25">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ht="15.75" x14ac:dyDescent="0.25">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ht="15.75" x14ac:dyDescent="0.25">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ht="15.75" hidden="1" x14ac:dyDescent="0.25">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ht="15.75" hidden="1" x14ac:dyDescent="0.25">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ht="15.75" hidden="1" x14ac:dyDescent="0.25">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ht="15.75" x14ac:dyDescent="0.25">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ht="15.75" hidden="1" x14ac:dyDescent="0.25">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ht="15.75" hidden="1" x14ac:dyDescent="0.25">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ht="15.75" x14ac:dyDescent="0.25">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ht="15.75" hidden="1" x14ac:dyDescent="0.25">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ht="15.75" x14ac:dyDescent="0.25">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ht="15.75" x14ac:dyDescent="0.25">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ht="15.75" x14ac:dyDescent="0.25">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ht="15.75" x14ac:dyDescent="0.25">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ht="15.75" x14ac:dyDescent="0.25">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ht="15.75" x14ac:dyDescent="0.25">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ht="15.75" x14ac:dyDescent="0.25">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ht="15.75" x14ac:dyDescent="0.25">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ht="15.75" x14ac:dyDescent="0.25">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ht="15.75" x14ac:dyDescent="0.25">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ht="15.75" hidden="1" x14ac:dyDescent="0.25">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ht="15.75" x14ac:dyDescent="0.25">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ht="15.75" x14ac:dyDescent="0.25">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ht="15.75" hidden="1" x14ac:dyDescent="0.25">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ht="15.75" x14ac:dyDescent="0.25">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ht="15.75" x14ac:dyDescent="0.25">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ht="15.75" hidden="1" x14ac:dyDescent="0.25">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ht="15.75" hidden="1" x14ac:dyDescent="0.25">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ht="15.75" hidden="1" x14ac:dyDescent="0.25">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ht="15.75" x14ac:dyDescent="0.25">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ht="15.75" x14ac:dyDescent="0.25">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ht="15.75" hidden="1" x14ac:dyDescent="0.25">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ht="15.75" hidden="1" x14ac:dyDescent="0.25">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ht="15.75" hidden="1" x14ac:dyDescent="0.25">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ht="15.75" x14ac:dyDescent="0.25">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ht="15.75" x14ac:dyDescent="0.25">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ht="15.75" x14ac:dyDescent="0.25">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ht="15.75" x14ac:dyDescent="0.25">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ht="15.75" x14ac:dyDescent="0.25">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ht="15.75" x14ac:dyDescent="0.25">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ht="15.75" x14ac:dyDescent="0.25">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ht="15.75" x14ac:dyDescent="0.25">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ht="15.75" hidden="1" x14ac:dyDescent="0.25">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ht="15.75" hidden="1" x14ac:dyDescent="0.25">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ht="15.75" hidden="1" x14ac:dyDescent="0.25">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ht="15.75" x14ac:dyDescent="0.25">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ht="15.75" hidden="1" x14ac:dyDescent="0.25">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ht="15.75" x14ac:dyDescent="0.25">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ht="15.75" x14ac:dyDescent="0.25">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ht="15.75" x14ac:dyDescent="0.25">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ht="15.75" x14ac:dyDescent="0.25">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ht="15.75" hidden="1" x14ac:dyDescent="0.25">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ht="15.75" x14ac:dyDescent="0.25">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ht="15.75" hidden="1" x14ac:dyDescent="0.25">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ht="15.75" x14ac:dyDescent="0.25">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ht="15.75" hidden="1" x14ac:dyDescent="0.25">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ht="15.75" hidden="1" x14ac:dyDescent="0.25">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ht="15.75" x14ac:dyDescent="0.25">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ht="15.75" x14ac:dyDescent="0.25">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ht="15.75" hidden="1" x14ac:dyDescent="0.25">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ht="15.75" x14ac:dyDescent="0.25">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ht="15.75" x14ac:dyDescent="0.25">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ht="15.75" hidden="1" x14ac:dyDescent="0.25">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ht="15.75" x14ac:dyDescent="0.25">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ht="15.75" x14ac:dyDescent="0.25">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ht="15.75" hidden="1" x14ac:dyDescent="0.25">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ht="15.75" x14ac:dyDescent="0.25">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ht="15.75" x14ac:dyDescent="0.25">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ht="15.75" hidden="1" x14ac:dyDescent="0.25">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ht="15.75" x14ac:dyDescent="0.25">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ht="15.75" x14ac:dyDescent="0.25">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ht="15.75" x14ac:dyDescent="0.25">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ht="15.75" x14ac:dyDescent="0.25">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ht="15.75" hidden="1" x14ac:dyDescent="0.25">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ht="15.75" hidden="1" x14ac:dyDescent="0.25">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ht="15.75" x14ac:dyDescent="0.25">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ht="15.75" hidden="1" x14ac:dyDescent="0.25">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ht="15.75" hidden="1" x14ac:dyDescent="0.25">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ht="15.75" x14ac:dyDescent="0.25">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ht="15.75" hidden="1" x14ac:dyDescent="0.25">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ht="15.75" hidden="1" x14ac:dyDescent="0.25">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ht="15.75" hidden="1" x14ac:dyDescent="0.25">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ht="15.75" hidden="1" x14ac:dyDescent="0.25">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ht="15.75" x14ac:dyDescent="0.25">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ht="15.75" hidden="1" x14ac:dyDescent="0.25">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ht="15.75" hidden="1" x14ac:dyDescent="0.25">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ht="15.75" x14ac:dyDescent="0.25">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ht="15.75" x14ac:dyDescent="0.25">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ht="15.75" x14ac:dyDescent="0.25">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ht="15.75" hidden="1" x14ac:dyDescent="0.25">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ht="15.75" x14ac:dyDescent="0.25">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ht="15.75" hidden="1" x14ac:dyDescent="0.25">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ht="15.75" x14ac:dyDescent="0.25">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ht="15.75" hidden="1" x14ac:dyDescent="0.25">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ht="15.75" hidden="1" x14ac:dyDescent="0.25">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ht="15.75" hidden="1" x14ac:dyDescent="0.25">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ht="15.75" x14ac:dyDescent="0.25">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ht="15.75" x14ac:dyDescent="0.25">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ht="15.75" hidden="1" x14ac:dyDescent="0.25">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ht="15.75" hidden="1" x14ac:dyDescent="0.25">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ht="15.75" x14ac:dyDescent="0.25">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ht="15.75" x14ac:dyDescent="0.25">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ht="15.75" hidden="1" x14ac:dyDescent="0.25">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ht="15.75" x14ac:dyDescent="0.25">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ht="15.75" hidden="1" x14ac:dyDescent="0.25">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ht="15.75" hidden="1" x14ac:dyDescent="0.25">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ht="15.75" x14ac:dyDescent="0.25">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ht="15.75" x14ac:dyDescent="0.25">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ht="15.75" hidden="1" x14ac:dyDescent="0.25">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ht="15.75" hidden="1" x14ac:dyDescent="0.25">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ht="15.75" x14ac:dyDescent="0.25">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ht="15.75" x14ac:dyDescent="0.25">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ht="15.75" x14ac:dyDescent="0.25">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ht="15.75" x14ac:dyDescent="0.25">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ht="15.75" hidden="1" x14ac:dyDescent="0.25">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ht="15.75" x14ac:dyDescent="0.25">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ht="15.75" hidden="1" x14ac:dyDescent="0.25">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ht="15.75" x14ac:dyDescent="0.25">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ht="15.75" hidden="1" x14ac:dyDescent="0.25">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ht="15.75" x14ac:dyDescent="0.25">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ht="15.75" x14ac:dyDescent="0.25">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ht="15.75" x14ac:dyDescent="0.25">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ht="15.75" hidden="1" x14ac:dyDescent="0.25">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ht="15.75" x14ac:dyDescent="0.25">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ht="15.75" x14ac:dyDescent="0.25">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ht="15.75" x14ac:dyDescent="0.25">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ht="15.75" hidden="1" x14ac:dyDescent="0.25">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ht="15.75" x14ac:dyDescent="0.25">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ht="15.75" hidden="1" x14ac:dyDescent="0.25">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ht="15.75" hidden="1" x14ac:dyDescent="0.25">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ht="15.75" x14ac:dyDescent="0.25">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ht="15.75" x14ac:dyDescent="0.25">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ht="15.75" x14ac:dyDescent="0.25">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ht="15.75" x14ac:dyDescent="0.25">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ht="15.75" x14ac:dyDescent="0.25">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ht="15.75" x14ac:dyDescent="0.25">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ht="15.75" x14ac:dyDescent="0.25">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ht="15.75" hidden="1" x14ac:dyDescent="0.25">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ht="15.75" hidden="1" x14ac:dyDescent="0.25">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ht="15.75" x14ac:dyDescent="0.25">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ht="15.75" x14ac:dyDescent="0.25">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ht="15.75" hidden="1" x14ac:dyDescent="0.25">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ht="15.75" x14ac:dyDescent="0.25">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ht="15.75" x14ac:dyDescent="0.25">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ht="15.75" x14ac:dyDescent="0.25">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ht="15.75" hidden="1" x14ac:dyDescent="0.25">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ht="15.75" x14ac:dyDescent="0.25">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ht="15.75" hidden="1" x14ac:dyDescent="0.25">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ht="15.75" x14ac:dyDescent="0.25">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ht="15.75" x14ac:dyDescent="0.25">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ht="15.75" hidden="1" x14ac:dyDescent="0.25">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ht="15.75" hidden="1" x14ac:dyDescent="0.25">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ht="15.75" hidden="1" x14ac:dyDescent="0.25">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ht="15.75" hidden="1" x14ac:dyDescent="0.25">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ht="15.75" x14ac:dyDescent="0.25">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ht="15.75" x14ac:dyDescent="0.25">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ht="15.75" hidden="1" x14ac:dyDescent="0.25">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ht="15.75" x14ac:dyDescent="0.25">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ht="15.75" x14ac:dyDescent="0.25">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ht="15.75" hidden="1" x14ac:dyDescent="0.25">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ht="15.75" x14ac:dyDescent="0.25">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ht="15.75" x14ac:dyDescent="0.25">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ht="15.75" x14ac:dyDescent="0.25">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ht="15.75" hidden="1" x14ac:dyDescent="0.25">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ht="15.75" hidden="1" x14ac:dyDescent="0.25">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ht="15.75" hidden="1" x14ac:dyDescent="0.25">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ht="15.75" x14ac:dyDescent="0.25">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ht="15.75" hidden="1" x14ac:dyDescent="0.25">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ht="15.75" hidden="1" x14ac:dyDescent="0.25">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ht="15.75" hidden="1" x14ac:dyDescent="0.25">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ht="15.75" hidden="1" x14ac:dyDescent="0.25">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ht="15.75" x14ac:dyDescent="0.25">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ht="15.75" hidden="1" x14ac:dyDescent="0.25">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ht="15.75" x14ac:dyDescent="0.25">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ht="15.75" hidden="1" x14ac:dyDescent="0.25">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ht="15.75" x14ac:dyDescent="0.25">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ht="15.75" hidden="1" x14ac:dyDescent="0.25">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ht="15.75" x14ac:dyDescent="0.25">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ht="15.75" hidden="1" x14ac:dyDescent="0.25">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ht="15.75" hidden="1" x14ac:dyDescent="0.25">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ht="15.75" x14ac:dyDescent="0.25">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ht="15.75" hidden="1" x14ac:dyDescent="0.25">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ht="15.75" x14ac:dyDescent="0.25">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ht="15.75" hidden="1" x14ac:dyDescent="0.25">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ht="15.75" hidden="1" x14ac:dyDescent="0.25">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ht="15.75" x14ac:dyDescent="0.25">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ht="15.75" x14ac:dyDescent="0.25">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ht="15.75" x14ac:dyDescent="0.25">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ht="15.75" x14ac:dyDescent="0.25">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ht="15.75" x14ac:dyDescent="0.25">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ht="15.75" x14ac:dyDescent="0.25">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ht="15.75" x14ac:dyDescent="0.25">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ht="15.75" hidden="1" x14ac:dyDescent="0.25">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ht="15.75" x14ac:dyDescent="0.25">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ht="15.75" hidden="1" x14ac:dyDescent="0.25">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ht="15.75" x14ac:dyDescent="0.25">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ht="15.75" hidden="1" x14ac:dyDescent="0.25">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ht="15.75" x14ac:dyDescent="0.25">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ht="15.75" x14ac:dyDescent="0.25">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ht="15.75" hidden="1" x14ac:dyDescent="0.25">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ht="15.75" hidden="1" x14ac:dyDescent="0.25">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ht="15.75" x14ac:dyDescent="0.25">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ht="15.75" x14ac:dyDescent="0.25">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ht="15.75" x14ac:dyDescent="0.25">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ht="15.75" x14ac:dyDescent="0.25">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ht="15.75" hidden="1" x14ac:dyDescent="0.25">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ht="15.75" x14ac:dyDescent="0.25">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ht="15.75" x14ac:dyDescent="0.25">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ht="15.75" hidden="1" x14ac:dyDescent="0.25">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ht="15.75" x14ac:dyDescent="0.25">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ht="15.75" x14ac:dyDescent="0.25">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ht="15.75" x14ac:dyDescent="0.25">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ht="15.75" x14ac:dyDescent="0.25">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ht="15.75" hidden="1" x14ac:dyDescent="0.25">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ht="15.75" hidden="1" x14ac:dyDescent="0.25">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ht="15.75" hidden="1" x14ac:dyDescent="0.25">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ht="15.75" x14ac:dyDescent="0.25">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ht="15.75" hidden="1" x14ac:dyDescent="0.25">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ht="15.75" x14ac:dyDescent="0.25">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ht="15.75" hidden="1" x14ac:dyDescent="0.25">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ht="15.75" x14ac:dyDescent="0.25">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ht="15.75" hidden="1" x14ac:dyDescent="0.25">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ht="15.75" hidden="1" x14ac:dyDescent="0.25">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ht="15.75" x14ac:dyDescent="0.25">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ht="15.75" x14ac:dyDescent="0.25">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ht="15.75" x14ac:dyDescent="0.25">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ht="15.75" hidden="1" x14ac:dyDescent="0.25">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ht="15.75" x14ac:dyDescent="0.25">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ht="15.75" hidden="1" x14ac:dyDescent="0.25">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ht="15.75" x14ac:dyDescent="0.25">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ht="15.75" hidden="1" x14ac:dyDescent="0.25">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ht="15.75" hidden="1" x14ac:dyDescent="0.25">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ht="15.75" hidden="1" x14ac:dyDescent="0.25">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ht="15.75" hidden="1" x14ac:dyDescent="0.25">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ht="15.75" hidden="1" x14ac:dyDescent="0.25">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ht="15.75" x14ac:dyDescent="0.25">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ht="15.75" x14ac:dyDescent="0.25">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ht="15.75" x14ac:dyDescent="0.25">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ht="15.75" x14ac:dyDescent="0.25">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ht="15.75" hidden="1" x14ac:dyDescent="0.25">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ht="15.75" hidden="1" x14ac:dyDescent="0.25">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ht="15.75" hidden="1" x14ac:dyDescent="0.25">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ht="15.75" x14ac:dyDescent="0.25">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ht="15.75" x14ac:dyDescent="0.25">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ht="15.75" x14ac:dyDescent="0.25">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ht="15.75" hidden="1" x14ac:dyDescent="0.25">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ht="15.75" hidden="1" x14ac:dyDescent="0.25">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ht="15.75" x14ac:dyDescent="0.25">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ht="15.75" hidden="1" x14ac:dyDescent="0.25">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ht="15.75" x14ac:dyDescent="0.25">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ht="15.75" x14ac:dyDescent="0.25">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ht="15.75" hidden="1" x14ac:dyDescent="0.25">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ht="15.75" hidden="1" x14ac:dyDescent="0.25">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ht="15.75" hidden="1" x14ac:dyDescent="0.25">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ht="15.75" hidden="1" x14ac:dyDescent="0.25">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ht="15.75" hidden="1" x14ac:dyDescent="0.25">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ht="15.75" hidden="1" x14ac:dyDescent="0.25">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ht="15.75" hidden="1" x14ac:dyDescent="0.25">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ht="15.75" hidden="1" x14ac:dyDescent="0.25">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ht="15.75" x14ac:dyDescent="0.25">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ht="15.75" x14ac:dyDescent="0.25">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ht="15.75" x14ac:dyDescent="0.25">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ht="15.75" hidden="1" x14ac:dyDescent="0.25">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ht="15.75" x14ac:dyDescent="0.25">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ht="15.75" x14ac:dyDescent="0.25">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ht="15.75" hidden="1" x14ac:dyDescent="0.25">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ht="15.75" x14ac:dyDescent="0.25">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ht="15.75" x14ac:dyDescent="0.25">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ht="15.75" x14ac:dyDescent="0.25">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ht="15.75" hidden="1" x14ac:dyDescent="0.25">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ht="15.75" x14ac:dyDescent="0.25">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ht="15.75" hidden="1" x14ac:dyDescent="0.25">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ht="15.75" x14ac:dyDescent="0.25">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ht="15.75" hidden="1" x14ac:dyDescent="0.25">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ht="15.75" hidden="1" x14ac:dyDescent="0.25">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ht="15.75" hidden="1" x14ac:dyDescent="0.25">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ht="15.75" x14ac:dyDescent="0.25">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ht="15.75" x14ac:dyDescent="0.25">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ht="15.75" hidden="1" x14ac:dyDescent="0.25">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ht="15.75" hidden="1" x14ac:dyDescent="0.25">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ht="15.75" hidden="1" x14ac:dyDescent="0.25">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ht="15.75" x14ac:dyDescent="0.25">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ht="15.75" x14ac:dyDescent="0.25">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ht="15.75" x14ac:dyDescent="0.25">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ht="15.75" x14ac:dyDescent="0.25">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ht="15.75" hidden="1" x14ac:dyDescent="0.25">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ht="15.75" hidden="1" x14ac:dyDescent="0.25">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ht="15.75" x14ac:dyDescent="0.25">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ht="15.75" x14ac:dyDescent="0.25">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ht="15.75" x14ac:dyDescent="0.25">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ht="15.75" hidden="1" x14ac:dyDescent="0.25">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ht="15.75" x14ac:dyDescent="0.25">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ht="15.75" x14ac:dyDescent="0.25">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ht="15.75" x14ac:dyDescent="0.25">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ht="15.75" hidden="1" x14ac:dyDescent="0.25">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ht="15.75" x14ac:dyDescent="0.25">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ht="15.75" x14ac:dyDescent="0.25">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ht="15.75" hidden="1" x14ac:dyDescent="0.25">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ht="15.75" x14ac:dyDescent="0.25">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ht="15.75" x14ac:dyDescent="0.25">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ht="15.75" x14ac:dyDescent="0.25">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ht="15.75" x14ac:dyDescent="0.25">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ht="15.75" x14ac:dyDescent="0.25">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ht="15.75" x14ac:dyDescent="0.25">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ht="15.75" hidden="1" x14ac:dyDescent="0.25">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ht="15.75" x14ac:dyDescent="0.25">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ht="15.75" x14ac:dyDescent="0.25">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ht="15.75" hidden="1" x14ac:dyDescent="0.25">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ht="15.75" x14ac:dyDescent="0.25">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ht="15.75" x14ac:dyDescent="0.25">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ht="15.75" hidden="1" x14ac:dyDescent="0.25">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ht="15.75" hidden="1" x14ac:dyDescent="0.25">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ht="15.75" x14ac:dyDescent="0.25">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ht="15.75" x14ac:dyDescent="0.25">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ht="15.75" hidden="1" x14ac:dyDescent="0.25">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ht="15.75" x14ac:dyDescent="0.25">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ht="15.75" x14ac:dyDescent="0.25">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ht="15.75" hidden="1" x14ac:dyDescent="0.25">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ht="15.75" x14ac:dyDescent="0.25">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ht="15.75" x14ac:dyDescent="0.25">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ht="15.75" x14ac:dyDescent="0.25">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ht="15.75" x14ac:dyDescent="0.25">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ht="15.75" x14ac:dyDescent="0.25">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ht="15.75" x14ac:dyDescent="0.25">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ht="15.75" x14ac:dyDescent="0.25">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ht="15.75" hidden="1" x14ac:dyDescent="0.25">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ht="15.75" x14ac:dyDescent="0.25">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ht="15.75" x14ac:dyDescent="0.25">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ht="15.75" x14ac:dyDescent="0.25">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ht="15.75" x14ac:dyDescent="0.25">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ht="15.75" x14ac:dyDescent="0.25">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ht="15.75" hidden="1" x14ac:dyDescent="0.25">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ht="15.75" x14ac:dyDescent="0.25">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ht="15.75" x14ac:dyDescent="0.25">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ht="15.75" hidden="1" x14ac:dyDescent="0.25">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ht="15.75" x14ac:dyDescent="0.25">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ht="15.75" hidden="1" x14ac:dyDescent="0.25">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ht="15.75" x14ac:dyDescent="0.25">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ht="15.75" hidden="1" x14ac:dyDescent="0.25">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ht="15.75" hidden="1" x14ac:dyDescent="0.25">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ht="15.75" x14ac:dyDescent="0.25">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ht="15.75" x14ac:dyDescent="0.25">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ht="15.75" x14ac:dyDescent="0.25">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ht="15.75" x14ac:dyDescent="0.25">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ht="15.75" hidden="1" x14ac:dyDescent="0.25">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ht="15.75" x14ac:dyDescent="0.25">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ht="15.75" x14ac:dyDescent="0.25">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ht="15.75" hidden="1" x14ac:dyDescent="0.25">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ht="15.75" x14ac:dyDescent="0.25">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ht="15.75" x14ac:dyDescent="0.25">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ht="15.75" x14ac:dyDescent="0.25">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ht="15.75" hidden="1" x14ac:dyDescent="0.25">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ht="15.75" hidden="1" x14ac:dyDescent="0.25">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ht="15.75" hidden="1" x14ac:dyDescent="0.25">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ht="15.75" hidden="1" x14ac:dyDescent="0.25">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ht="15.75" x14ac:dyDescent="0.25">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ht="15.75" hidden="1" x14ac:dyDescent="0.25">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ht="15.75" hidden="1" x14ac:dyDescent="0.25">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ht="15.75" x14ac:dyDescent="0.25">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ht="15.75" x14ac:dyDescent="0.25">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ht="15.75" hidden="1" x14ac:dyDescent="0.25">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ht="15.75" hidden="1" x14ac:dyDescent="0.25">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ht="15.75" x14ac:dyDescent="0.25">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ht="15.75" hidden="1" x14ac:dyDescent="0.25">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ht="15.75" x14ac:dyDescent="0.25">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ht="15.75" x14ac:dyDescent="0.25">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ht="15.75" x14ac:dyDescent="0.25">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ht="15.75" x14ac:dyDescent="0.25">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ht="15.75" x14ac:dyDescent="0.25">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ht="15.75" hidden="1" x14ac:dyDescent="0.25">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ht="15.75" x14ac:dyDescent="0.25">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ht="15.75" x14ac:dyDescent="0.25">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ht="15.75" x14ac:dyDescent="0.25">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ht="15.75" hidden="1" x14ac:dyDescent="0.25">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ht="15.75" hidden="1" x14ac:dyDescent="0.25">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ht="15.75" x14ac:dyDescent="0.25">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ht="15.75" x14ac:dyDescent="0.25">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ht="15.75" x14ac:dyDescent="0.25">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ht="15.75" x14ac:dyDescent="0.25">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ht="15.75" x14ac:dyDescent="0.25">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ht="15.75" x14ac:dyDescent="0.25">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ht="15.75" x14ac:dyDescent="0.25">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ht="15.75" hidden="1" x14ac:dyDescent="0.25">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ht="15.75" hidden="1" x14ac:dyDescent="0.25">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ht="15.75" hidden="1" x14ac:dyDescent="0.25">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ht="15.75" x14ac:dyDescent="0.25">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ht="15.75" hidden="1" x14ac:dyDescent="0.25">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ht="15.75" x14ac:dyDescent="0.25">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ht="15.75" x14ac:dyDescent="0.25">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ht="15.75" hidden="1" x14ac:dyDescent="0.25">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ht="15.75" hidden="1" x14ac:dyDescent="0.25">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ht="15.75" x14ac:dyDescent="0.25">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ht="15.75" hidden="1" x14ac:dyDescent="0.25">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ht="15.75" hidden="1" x14ac:dyDescent="0.25">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ht="15.75" hidden="1" x14ac:dyDescent="0.25">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ht="15.75" hidden="1" x14ac:dyDescent="0.25">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ht="15.75" x14ac:dyDescent="0.25">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ht="15.75" x14ac:dyDescent="0.25">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ht="15.75" hidden="1" x14ac:dyDescent="0.25">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ht="15.75" hidden="1" x14ac:dyDescent="0.25">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ht="15.75" x14ac:dyDescent="0.25">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ht="15.75" x14ac:dyDescent="0.25">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ht="15.75" x14ac:dyDescent="0.25">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ht="15.75" x14ac:dyDescent="0.25">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ht="15.75" x14ac:dyDescent="0.25">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ht="15.75" x14ac:dyDescent="0.25">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ht="15.75" x14ac:dyDescent="0.25">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ht="15.75" hidden="1" x14ac:dyDescent="0.25">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ht="15.75" hidden="1" x14ac:dyDescent="0.25">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ht="15.75" x14ac:dyDescent="0.25">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ht="15.75" x14ac:dyDescent="0.25">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ht="15.75" hidden="1" x14ac:dyDescent="0.25">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ht="15.75" x14ac:dyDescent="0.25">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ht="15.75" x14ac:dyDescent="0.25">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ht="15.75" x14ac:dyDescent="0.25">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ht="15.75" hidden="1" x14ac:dyDescent="0.25">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ht="15.75" x14ac:dyDescent="0.25">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ht="15.75" hidden="1" x14ac:dyDescent="0.25">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ht="15.75" hidden="1" x14ac:dyDescent="0.25">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ht="15.75" hidden="1" x14ac:dyDescent="0.25">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ht="15.75" x14ac:dyDescent="0.25">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ht="15.75" x14ac:dyDescent="0.25">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ht="15.75" hidden="1" x14ac:dyDescent="0.25">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ht="15.75" x14ac:dyDescent="0.25">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ht="15.75" x14ac:dyDescent="0.25">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ht="15.75" x14ac:dyDescent="0.25">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ht="15.75" x14ac:dyDescent="0.25">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ht="15.75" hidden="1" x14ac:dyDescent="0.25">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ht="15.75" hidden="1" x14ac:dyDescent="0.25">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ht="15.75" hidden="1" x14ac:dyDescent="0.25">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ht="15.75" hidden="1" x14ac:dyDescent="0.25">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ht="15.75" x14ac:dyDescent="0.25">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ht="15.75" hidden="1" x14ac:dyDescent="0.25">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ht="15.75" hidden="1" x14ac:dyDescent="0.25">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ht="15.75" hidden="1" x14ac:dyDescent="0.25">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ht="15.75" x14ac:dyDescent="0.25">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ht="15.75" hidden="1" x14ac:dyDescent="0.25">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ht="15.75" x14ac:dyDescent="0.25">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ht="15.75" hidden="1" x14ac:dyDescent="0.25">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ht="15.75" hidden="1" x14ac:dyDescent="0.25">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ht="15.75" x14ac:dyDescent="0.25">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ht="15.75" x14ac:dyDescent="0.25">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ht="15.75" x14ac:dyDescent="0.25">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ht="15.75" hidden="1" x14ac:dyDescent="0.25">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ht="15.75" hidden="1" x14ac:dyDescent="0.25">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ht="15.75" hidden="1" x14ac:dyDescent="0.25">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ht="15.75" hidden="1" x14ac:dyDescent="0.25">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ht="15.75" hidden="1" x14ac:dyDescent="0.25">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ht="15.75" x14ac:dyDescent="0.25">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ht="15.75" x14ac:dyDescent="0.25">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ht="15.75" hidden="1" x14ac:dyDescent="0.25">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ht="15.75" x14ac:dyDescent="0.25">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ht="15.75" hidden="1" x14ac:dyDescent="0.25">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ht="15.75" x14ac:dyDescent="0.25">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ht="15.75" hidden="1" x14ac:dyDescent="0.25">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ht="15.75" x14ac:dyDescent="0.25">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ht="15.75" x14ac:dyDescent="0.25">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ht="15.75" hidden="1" x14ac:dyDescent="0.25">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ht="15.75" x14ac:dyDescent="0.25">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ht="15.75" x14ac:dyDescent="0.25">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ht="15.75" x14ac:dyDescent="0.25">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ht="15.75" x14ac:dyDescent="0.25">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ht="15.75" hidden="1" x14ac:dyDescent="0.25">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ht="15.75" x14ac:dyDescent="0.25">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ht="15.75" x14ac:dyDescent="0.25">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ht="15.75" hidden="1" x14ac:dyDescent="0.25">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ht="15.75" hidden="1" x14ac:dyDescent="0.25">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ht="15.75" x14ac:dyDescent="0.25">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ht="15.75" hidden="1" x14ac:dyDescent="0.25">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ht="15.75" x14ac:dyDescent="0.25">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ht="15.75" hidden="1" x14ac:dyDescent="0.25">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ht="15.75" x14ac:dyDescent="0.25">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ht="15.75" hidden="1" x14ac:dyDescent="0.25">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ht="15.75" hidden="1" x14ac:dyDescent="0.25">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ht="15.75" hidden="1" x14ac:dyDescent="0.25">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ht="15.75" hidden="1" x14ac:dyDescent="0.25">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ht="15.75" x14ac:dyDescent="0.25">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ht="15.75" x14ac:dyDescent="0.25">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ht="15.75" x14ac:dyDescent="0.25">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ht="15.75" hidden="1" x14ac:dyDescent="0.25">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ht="15.75" hidden="1" x14ac:dyDescent="0.25">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ht="15.75" x14ac:dyDescent="0.25">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ht="15.75" hidden="1" x14ac:dyDescent="0.25">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ht="15.75" hidden="1" x14ac:dyDescent="0.25">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ht="15.75" x14ac:dyDescent="0.25">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ht="15.75" hidden="1" x14ac:dyDescent="0.25">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ht="15.75" x14ac:dyDescent="0.25">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ht="15.75" x14ac:dyDescent="0.25">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ht="15.75" x14ac:dyDescent="0.25">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ht="15.75" x14ac:dyDescent="0.25">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ht="15.75" hidden="1" x14ac:dyDescent="0.25">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ht="15.75" x14ac:dyDescent="0.25">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ht="15.75" x14ac:dyDescent="0.25">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ht="15.75" x14ac:dyDescent="0.25">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ht="15.75" x14ac:dyDescent="0.25">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ht="15.75" x14ac:dyDescent="0.25">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ht="15.75" hidden="1" x14ac:dyDescent="0.25">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ht="15.75" hidden="1" x14ac:dyDescent="0.25">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ht="15.75" hidden="1" x14ac:dyDescent="0.25">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ht="15.75" hidden="1" x14ac:dyDescent="0.25">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ht="15.75" x14ac:dyDescent="0.25">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ht="15.75" hidden="1" x14ac:dyDescent="0.25">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ht="15.75" hidden="1" x14ac:dyDescent="0.25">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ht="15.75" hidden="1" x14ac:dyDescent="0.25">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ht="15.75" hidden="1" x14ac:dyDescent="0.25">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ht="15.75" hidden="1" x14ac:dyDescent="0.25">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ht="15.75" hidden="1" x14ac:dyDescent="0.25">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ht="15.75" hidden="1" x14ac:dyDescent="0.25">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ht="15.75" hidden="1" x14ac:dyDescent="0.25">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ht="15.75" hidden="1" x14ac:dyDescent="0.25">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ht="15.75" hidden="1" x14ac:dyDescent="0.25">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ht="15.75" hidden="1" x14ac:dyDescent="0.25">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ht="15.75" hidden="1" x14ac:dyDescent="0.25">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ht="15.75" hidden="1" x14ac:dyDescent="0.25">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ht="15.75" hidden="1" x14ac:dyDescent="0.25">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ht="15.75" hidden="1" x14ac:dyDescent="0.25">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ht="15.75" hidden="1" x14ac:dyDescent="0.25">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ht="15.75" hidden="1" x14ac:dyDescent="0.25">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ht="15.75" hidden="1" x14ac:dyDescent="0.25">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ht="15.75" hidden="1" x14ac:dyDescent="0.25">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ht="15.75" hidden="1" x14ac:dyDescent="0.25">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ht="15.75" hidden="1" x14ac:dyDescent="0.25">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ht="15.75" hidden="1" x14ac:dyDescent="0.25">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ht="15.75" hidden="1" x14ac:dyDescent="0.25">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ht="15.75" hidden="1" x14ac:dyDescent="0.25">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ht="15.75" hidden="1" x14ac:dyDescent="0.25">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ht="15.75" hidden="1" x14ac:dyDescent="0.25">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ht="15.75" hidden="1" x14ac:dyDescent="0.25">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ht="15.75" hidden="1" x14ac:dyDescent="0.25">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ht="15.75" hidden="1" x14ac:dyDescent="0.25">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ht="15.75" hidden="1" x14ac:dyDescent="0.25">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ht="15.75" hidden="1" x14ac:dyDescent="0.25">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ht="15.75" hidden="1" x14ac:dyDescent="0.25">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ht="15.75" hidden="1" x14ac:dyDescent="0.25">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ht="15.75" hidden="1" x14ac:dyDescent="0.25">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ht="15.75" hidden="1" x14ac:dyDescent="0.25">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ht="15.75" hidden="1" x14ac:dyDescent="0.25">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ht="15.75" hidden="1" x14ac:dyDescent="0.25">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ht="15.75" hidden="1" x14ac:dyDescent="0.25">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ht="15.75" hidden="1" x14ac:dyDescent="0.25">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ht="15.75" hidden="1" x14ac:dyDescent="0.25">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ht="15.75" hidden="1" x14ac:dyDescent="0.25">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ht="15.75" hidden="1" x14ac:dyDescent="0.25">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ht="15.75" hidden="1" x14ac:dyDescent="0.25">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ht="15.75" hidden="1" x14ac:dyDescent="0.25">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ht="15.75" hidden="1" x14ac:dyDescent="0.25">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ht="15.75" hidden="1" x14ac:dyDescent="0.25">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ht="15.75" hidden="1" x14ac:dyDescent="0.25">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ht="15.75" hidden="1" x14ac:dyDescent="0.25">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ht="15.75" hidden="1" x14ac:dyDescent="0.25">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ht="15.75" hidden="1" x14ac:dyDescent="0.25">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ht="15.75" hidden="1" x14ac:dyDescent="0.25">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ht="15.75" hidden="1" x14ac:dyDescent="0.25">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ht="15.75" hidden="1" x14ac:dyDescent="0.25">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ht="15.75" hidden="1" x14ac:dyDescent="0.25">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ht="15.75" hidden="1" x14ac:dyDescent="0.25">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ht="15.75" hidden="1" x14ac:dyDescent="0.25">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ht="15.75" hidden="1" x14ac:dyDescent="0.25">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ht="15.75" hidden="1" x14ac:dyDescent="0.25">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ht="15.75" hidden="1" x14ac:dyDescent="0.25">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ht="15.75" hidden="1" x14ac:dyDescent="0.25">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ht="15.75" hidden="1" x14ac:dyDescent="0.25">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ht="15.75" hidden="1" x14ac:dyDescent="0.25">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ht="15.75" hidden="1" x14ac:dyDescent="0.25">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ht="15.75" hidden="1" x14ac:dyDescent="0.25">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ht="15.75" hidden="1" x14ac:dyDescent="0.25">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ht="15.75" hidden="1" x14ac:dyDescent="0.25">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ht="15.75" hidden="1" x14ac:dyDescent="0.25">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ht="15.75" hidden="1" x14ac:dyDescent="0.25">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ht="15.75" hidden="1" x14ac:dyDescent="0.25">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ht="15.75" hidden="1" x14ac:dyDescent="0.25">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ht="15.75" hidden="1" x14ac:dyDescent="0.25">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ht="15.75" hidden="1" x14ac:dyDescent="0.25">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ht="15.75" hidden="1" x14ac:dyDescent="0.25">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ht="15.75" hidden="1" x14ac:dyDescent="0.25">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ht="15.75" hidden="1" x14ac:dyDescent="0.25">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ht="15.75" hidden="1" x14ac:dyDescent="0.25">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ht="15.75" hidden="1" x14ac:dyDescent="0.25">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ht="15.75" hidden="1" x14ac:dyDescent="0.25">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ht="15.75" hidden="1" x14ac:dyDescent="0.25">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ht="15.75" hidden="1" x14ac:dyDescent="0.25">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ht="15.75" hidden="1" x14ac:dyDescent="0.25">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ht="15.75" hidden="1" x14ac:dyDescent="0.25">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ht="15.75" hidden="1" x14ac:dyDescent="0.25">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ht="15.75" hidden="1" x14ac:dyDescent="0.25">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ht="15.75" hidden="1" x14ac:dyDescent="0.25">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ht="15.75" hidden="1" x14ac:dyDescent="0.25">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ht="15.75" hidden="1" x14ac:dyDescent="0.25">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ht="15.75" hidden="1" x14ac:dyDescent="0.25">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ht="15.75" hidden="1" x14ac:dyDescent="0.25">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ht="15.75" hidden="1" x14ac:dyDescent="0.25">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ht="15.75" hidden="1" x14ac:dyDescent="0.25">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ht="15.75" hidden="1" x14ac:dyDescent="0.25">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ht="15.75" hidden="1" x14ac:dyDescent="0.25">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ht="15.75" hidden="1" x14ac:dyDescent="0.25">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ht="15.75" hidden="1" x14ac:dyDescent="0.25">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ht="15.75" x14ac:dyDescent="0.25">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ht="15.75" x14ac:dyDescent="0.25">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ht="15.75" x14ac:dyDescent="0.25">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ht="15.75" x14ac:dyDescent="0.25">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ht="15.75" x14ac:dyDescent="0.25">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ht="15.75" x14ac:dyDescent="0.25">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ht="15.75" x14ac:dyDescent="0.25">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ht="15.75" x14ac:dyDescent="0.25">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ht="15.75" x14ac:dyDescent="0.25">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ht="15.75" x14ac:dyDescent="0.25">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ht="15.75" x14ac:dyDescent="0.25">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ht="15.75" x14ac:dyDescent="0.25">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ht="15.75" x14ac:dyDescent="0.25">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ht="15.75" x14ac:dyDescent="0.25">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ht="15.75" x14ac:dyDescent="0.25">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ht="15.75" x14ac:dyDescent="0.25">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ht="15.75" x14ac:dyDescent="0.25">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ht="15.75" x14ac:dyDescent="0.25">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ht="15.75" x14ac:dyDescent="0.25">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ht="15.75" x14ac:dyDescent="0.25">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ht="15.75" x14ac:dyDescent="0.25">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ht="15.75" x14ac:dyDescent="0.25">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ht="15.75" x14ac:dyDescent="0.25">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ht="15.75" x14ac:dyDescent="0.25">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ht="15.75" x14ac:dyDescent="0.25">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ht="15.75" x14ac:dyDescent="0.25">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ht="15.75" x14ac:dyDescent="0.25">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ht="15.75" x14ac:dyDescent="0.25">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ht="15.75" x14ac:dyDescent="0.25">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ht="15.75" x14ac:dyDescent="0.25">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ht="15.75" x14ac:dyDescent="0.25">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ht="15.75" x14ac:dyDescent="0.25">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ht="15.75" x14ac:dyDescent="0.25">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ht="15.75" x14ac:dyDescent="0.25">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ht="15.75" x14ac:dyDescent="0.25">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ht="15.75" x14ac:dyDescent="0.25">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ht="15.75" x14ac:dyDescent="0.25">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ht="15.75" x14ac:dyDescent="0.25">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ht="15.75" x14ac:dyDescent="0.25">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ht="15.75" x14ac:dyDescent="0.25">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ht="15.75" x14ac:dyDescent="0.25">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ht="15.75" x14ac:dyDescent="0.25">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ht="15.75" x14ac:dyDescent="0.25">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ht="15.75" x14ac:dyDescent="0.25">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ht="15.75" x14ac:dyDescent="0.25">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ht="15.75" x14ac:dyDescent="0.25">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ht="15.75" x14ac:dyDescent="0.25">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ht="15.75" x14ac:dyDescent="0.25">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ht="15.75" x14ac:dyDescent="0.25">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ht="15.75" x14ac:dyDescent="0.25">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ht="15.75" x14ac:dyDescent="0.25">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ht="15.75" x14ac:dyDescent="0.25">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ht="15.75" x14ac:dyDescent="0.25">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ht="15.75" x14ac:dyDescent="0.25">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ht="15.75" x14ac:dyDescent="0.25">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ht="15.75" x14ac:dyDescent="0.25">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ht="15.75" x14ac:dyDescent="0.25">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ht="15.75" x14ac:dyDescent="0.25">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ht="15.75" x14ac:dyDescent="0.25">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ht="15.75" x14ac:dyDescent="0.25">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ht="15.75" x14ac:dyDescent="0.25">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ht="15.75" x14ac:dyDescent="0.25">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ht="15.75" x14ac:dyDescent="0.25">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ht="15.75" x14ac:dyDescent="0.25">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ht="15.75" x14ac:dyDescent="0.25">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ht="15.75" x14ac:dyDescent="0.25">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ht="15.75" x14ac:dyDescent="0.25">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ht="15.75" x14ac:dyDescent="0.25">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ht="15.75" x14ac:dyDescent="0.25">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ht="15.75" x14ac:dyDescent="0.25">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ht="15.75" x14ac:dyDescent="0.25">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ht="15.75" x14ac:dyDescent="0.25">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ht="15.75" x14ac:dyDescent="0.25">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ht="15.75" x14ac:dyDescent="0.25">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ht="15.75" x14ac:dyDescent="0.25">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ht="15.75" x14ac:dyDescent="0.25">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ht="15.75" x14ac:dyDescent="0.25">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ht="15.75" x14ac:dyDescent="0.25">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ht="15.75" x14ac:dyDescent="0.25">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ht="15.75" x14ac:dyDescent="0.25">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ht="15.75" x14ac:dyDescent="0.25">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ht="15.75" x14ac:dyDescent="0.25">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ht="15.75" x14ac:dyDescent="0.25">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ht="15.75" x14ac:dyDescent="0.25">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ht="15.75" x14ac:dyDescent="0.25">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ht="15.75" x14ac:dyDescent="0.25">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ht="15.75" x14ac:dyDescent="0.25">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ht="15.75" x14ac:dyDescent="0.25">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ht="15.75" x14ac:dyDescent="0.25">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ht="15.75" x14ac:dyDescent="0.25">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ht="15.75" x14ac:dyDescent="0.25">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ht="15.75" x14ac:dyDescent="0.25">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ht="15.75" x14ac:dyDescent="0.25">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ht="15.75" x14ac:dyDescent="0.25">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ht="15.75" x14ac:dyDescent="0.25">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ht="15.75" x14ac:dyDescent="0.25">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ht="15.75" x14ac:dyDescent="0.25">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ht="15.75" x14ac:dyDescent="0.25">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ht="15.75" x14ac:dyDescent="0.25">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ht="15.75" x14ac:dyDescent="0.25">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ht="15.75" x14ac:dyDescent="0.25">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ht="15.75" x14ac:dyDescent="0.25">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ht="15.75" x14ac:dyDescent="0.25">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ht="15.75" x14ac:dyDescent="0.25">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ht="15.75" x14ac:dyDescent="0.25">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ht="15.75" x14ac:dyDescent="0.25">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ht="15.75" x14ac:dyDescent="0.25">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ht="15.75" x14ac:dyDescent="0.25">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ht="15.75" x14ac:dyDescent="0.25">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ht="15.75" x14ac:dyDescent="0.25">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ht="15.75" x14ac:dyDescent="0.25">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ht="15.75" x14ac:dyDescent="0.25">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ht="15.75" x14ac:dyDescent="0.25">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ht="15.75" x14ac:dyDescent="0.25">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ht="15.75" x14ac:dyDescent="0.25">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ht="15.75" x14ac:dyDescent="0.25">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ht="15.75" x14ac:dyDescent="0.25">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ht="15.75" x14ac:dyDescent="0.25">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ht="15.75" x14ac:dyDescent="0.25">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ht="15.75" x14ac:dyDescent="0.25">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ht="15.75" x14ac:dyDescent="0.25">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ht="15.75" x14ac:dyDescent="0.25">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ht="15.75" x14ac:dyDescent="0.25">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ht="15.75" x14ac:dyDescent="0.25">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ht="15.75" x14ac:dyDescent="0.25">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ht="15.75" x14ac:dyDescent="0.25">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ht="15.75" x14ac:dyDescent="0.25">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ht="15.75" x14ac:dyDescent="0.25">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ht="15.75" x14ac:dyDescent="0.25">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ht="15.75" x14ac:dyDescent="0.25">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ht="15.75" x14ac:dyDescent="0.25">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ht="15.75" x14ac:dyDescent="0.25">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ht="15.75" x14ac:dyDescent="0.25">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ht="15.75" x14ac:dyDescent="0.25">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ht="15.75" x14ac:dyDescent="0.25">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ht="15.75" x14ac:dyDescent="0.25">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ht="15.75" x14ac:dyDescent="0.25">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ht="15.75" x14ac:dyDescent="0.25">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ht="15.75" x14ac:dyDescent="0.25">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ht="15.75" x14ac:dyDescent="0.25">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ht="15.75" x14ac:dyDescent="0.25">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ht="15.75" x14ac:dyDescent="0.25">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ht="15.75" x14ac:dyDescent="0.25">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ht="15.75" x14ac:dyDescent="0.25">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ht="15.75" x14ac:dyDescent="0.25">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ht="15.75" x14ac:dyDescent="0.25">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ht="15.75" x14ac:dyDescent="0.25">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ht="15.75" x14ac:dyDescent="0.25">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ht="15.75" x14ac:dyDescent="0.25">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ht="15.75" x14ac:dyDescent="0.25">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ht="15.75" x14ac:dyDescent="0.25">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ht="15.75" x14ac:dyDescent="0.25">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ht="15.75" x14ac:dyDescent="0.25">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ht="15.75" x14ac:dyDescent="0.25">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ht="15.75" x14ac:dyDescent="0.25">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ht="15.75" x14ac:dyDescent="0.25">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ht="15.75" x14ac:dyDescent="0.25">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ht="15.75" x14ac:dyDescent="0.25">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ht="15.75" x14ac:dyDescent="0.25">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ht="15.75" x14ac:dyDescent="0.25">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ht="15.75" x14ac:dyDescent="0.25">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ht="15.75" x14ac:dyDescent="0.25">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ht="15.75" x14ac:dyDescent="0.25">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ht="15.75" x14ac:dyDescent="0.25">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ht="15.75" x14ac:dyDescent="0.25">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ht="15.75" x14ac:dyDescent="0.25">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ht="15.75" x14ac:dyDescent="0.25">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ht="15.75" x14ac:dyDescent="0.25">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ht="15.75" x14ac:dyDescent="0.25">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ht="15.75" x14ac:dyDescent="0.25">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ht="15.75" x14ac:dyDescent="0.25">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ht="15.75" hidden="1" x14ac:dyDescent="0.25">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ht="15.75" hidden="1" x14ac:dyDescent="0.25">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ht="15.75" hidden="1" x14ac:dyDescent="0.25">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ht="15.75" hidden="1" x14ac:dyDescent="0.25">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ht="15.75" hidden="1" x14ac:dyDescent="0.25">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ht="15.75" hidden="1" x14ac:dyDescent="0.25">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ht="15.75" hidden="1" x14ac:dyDescent="0.25">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ht="15.75" hidden="1" x14ac:dyDescent="0.25">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ht="15.75" hidden="1" x14ac:dyDescent="0.25">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ht="15.75" hidden="1" x14ac:dyDescent="0.25">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ht="15.75" hidden="1" x14ac:dyDescent="0.25">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ht="15.75" hidden="1" x14ac:dyDescent="0.25">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ht="15.75" hidden="1" x14ac:dyDescent="0.25">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ht="15.75" hidden="1" x14ac:dyDescent="0.25">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ht="15.75" hidden="1" x14ac:dyDescent="0.25">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ht="15.75" hidden="1" x14ac:dyDescent="0.25">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ht="15.75" hidden="1" x14ac:dyDescent="0.25">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ht="15.75" hidden="1" x14ac:dyDescent="0.25">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ht="15.75" hidden="1" x14ac:dyDescent="0.25">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ht="15.75" hidden="1" x14ac:dyDescent="0.25">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ht="15.75" hidden="1" x14ac:dyDescent="0.25">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ht="15.75" hidden="1" x14ac:dyDescent="0.25">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ht="15.75" hidden="1" x14ac:dyDescent="0.25">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ht="15.75" hidden="1" x14ac:dyDescent="0.25">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ht="15.75" hidden="1" x14ac:dyDescent="0.25">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ht="15.75" hidden="1" x14ac:dyDescent="0.25">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ht="15.75" hidden="1" x14ac:dyDescent="0.25">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ht="15.75" hidden="1" x14ac:dyDescent="0.25">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ht="15.75" hidden="1" x14ac:dyDescent="0.25">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ht="15.75" hidden="1" x14ac:dyDescent="0.25">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ht="15.75" hidden="1" x14ac:dyDescent="0.25">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ht="15.75" x14ac:dyDescent="0.25">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ht="15.75" x14ac:dyDescent="0.25">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ht="15.75" x14ac:dyDescent="0.25">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ht="15.75" x14ac:dyDescent="0.25">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ht="15.75" x14ac:dyDescent="0.25">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ht="15.75" x14ac:dyDescent="0.25">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ht="15.75" x14ac:dyDescent="0.25">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ht="15.75" x14ac:dyDescent="0.25">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ht="15.75" x14ac:dyDescent="0.25">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ht="15.75" x14ac:dyDescent="0.25">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ht="15.75" x14ac:dyDescent="0.25">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ht="15.75" x14ac:dyDescent="0.25">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ht="15.75" x14ac:dyDescent="0.25">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ht="15.75" x14ac:dyDescent="0.25">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ht="15.75" x14ac:dyDescent="0.25">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ht="15.75" x14ac:dyDescent="0.25">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ht="15.75" x14ac:dyDescent="0.25">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ht="15.75" x14ac:dyDescent="0.25">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ht="15.75" x14ac:dyDescent="0.25">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ht="15.75" x14ac:dyDescent="0.25">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ht="15.75" x14ac:dyDescent="0.25">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ht="15.75" x14ac:dyDescent="0.25">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ht="15.75" x14ac:dyDescent="0.25">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ht="15.75" x14ac:dyDescent="0.25">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ht="15.75" x14ac:dyDescent="0.25">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ht="15.75" x14ac:dyDescent="0.25">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ht="15.75" x14ac:dyDescent="0.25">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ht="15.75" x14ac:dyDescent="0.25">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ht="15.75" x14ac:dyDescent="0.25">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ht="15.75" x14ac:dyDescent="0.25">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ht="15.75" x14ac:dyDescent="0.25">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ht="15.75" x14ac:dyDescent="0.25">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ht="15.75" x14ac:dyDescent="0.25">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ht="15.75" x14ac:dyDescent="0.25">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ht="15.75" x14ac:dyDescent="0.25">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ht="15.75" x14ac:dyDescent="0.25">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ht="15.75" x14ac:dyDescent="0.25">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ht="15.75" x14ac:dyDescent="0.25">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ht="15.75" x14ac:dyDescent="0.25">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ht="15.75" x14ac:dyDescent="0.25">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ht="15.75" x14ac:dyDescent="0.25">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ht="15.75" x14ac:dyDescent="0.25">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ht="15.75" x14ac:dyDescent="0.25">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ht="15.75" hidden="1" x14ac:dyDescent="0.25">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ht="15.75" hidden="1" x14ac:dyDescent="0.25">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ht="15.75" hidden="1" x14ac:dyDescent="0.25">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ht="15.75" hidden="1" x14ac:dyDescent="0.25">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ht="15.75" hidden="1" x14ac:dyDescent="0.25">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ht="15.75" hidden="1" x14ac:dyDescent="0.25">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ht="15.75" hidden="1" x14ac:dyDescent="0.25">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ht="15.75" hidden="1" x14ac:dyDescent="0.25">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ht="15.75" hidden="1" x14ac:dyDescent="0.25">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ht="15.75" hidden="1" x14ac:dyDescent="0.25">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ht="15.75" hidden="1" x14ac:dyDescent="0.25">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ht="15.75" hidden="1" x14ac:dyDescent="0.25">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ht="15.75" hidden="1" x14ac:dyDescent="0.25">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ht="15.75" hidden="1" x14ac:dyDescent="0.25">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ht="15.75" hidden="1" x14ac:dyDescent="0.25">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ht="15.75" hidden="1" x14ac:dyDescent="0.25">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ht="15.75" hidden="1" x14ac:dyDescent="0.25">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ht="15.75" x14ac:dyDescent="0.25">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ht="15.75" x14ac:dyDescent="0.25">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ht="15.75" x14ac:dyDescent="0.25">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ht="15.75" x14ac:dyDescent="0.25">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ht="15.75" x14ac:dyDescent="0.25">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ht="15.75" x14ac:dyDescent="0.25">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ht="15.75" x14ac:dyDescent="0.25">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ht="15.75" x14ac:dyDescent="0.25">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ht="15.75" x14ac:dyDescent="0.25">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ht="15.75" x14ac:dyDescent="0.25">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ht="15.75" x14ac:dyDescent="0.25">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ht="15.75" x14ac:dyDescent="0.25">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ht="15.75" x14ac:dyDescent="0.25">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ht="15.75" x14ac:dyDescent="0.25">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ht="15.75" x14ac:dyDescent="0.25">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ht="15.75" x14ac:dyDescent="0.25">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ht="15.75" x14ac:dyDescent="0.25">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ht="15.75" x14ac:dyDescent="0.25">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ht="15.75" x14ac:dyDescent="0.25">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ht="15.75" x14ac:dyDescent="0.25">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ht="15.75" x14ac:dyDescent="0.25">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ht="15.75" x14ac:dyDescent="0.25">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ht="15.75" x14ac:dyDescent="0.25">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ht="15.75" x14ac:dyDescent="0.25">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ht="15.75" x14ac:dyDescent="0.25">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ht="15.75" x14ac:dyDescent="0.25">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ht="15.75" x14ac:dyDescent="0.25">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ht="15.75" x14ac:dyDescent="0.25">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ht="15.75" x14ac:dyDescent="0.25">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ht="15.75" x14ac:dyDescent="0.25">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ht="15.75" x14ac:dyDescent="0.25">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ht="15.75" x14ac:dyDescent="0.25">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ht="15.75" hidden="1" x14ac:dyDescent="0.25">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ht="15.75" hidden="1" x14ac:dyDescent="0.25">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ht="15.75" hidden="1" x14ac:dyDescent="0.25">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ht="15.75" hidden="1" x14ac:dyDescent="0.25">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ht="15.75" hidden="1" x14ac:dyDescent="0.25">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ht="15.75" hidden="1" x14ac:dyDescent="0.25">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ht="15.75" hidden="1" x14ac:dyDescent="0.25">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ht="15.75" x14ac:dyDescent="0.25">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ht="15.75" x14ac:dyDescent="0.25">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ht="15.75" x14ac:dyDescent="0.25">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ht="15.75" x14ac:dyDescent="0.25">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ht="15.75" x14ac:dyDescent="0.25">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ht="15.75" hidden="1" x14ac:dyDescent="0.25">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ht="15.75" hidden="1" x14ac:dyDescent="0.25">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ht="15.75" hidden="1" x14ac:dyDescent="0.25">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ht="15.75" hidden="1" x14ac:dyDescent="0.25">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ht="15.75" hidden="1" x14ac:dyDescent="0.25">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ht="15.75" hidden="1" x14ac:dyDescent="0.25">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ht="15.75" hidden="1" x14ac:dyDescent="0.25">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ht="15.75" hidden="1" x14ac:dyDescent="0.25">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ht="15.75" hidden="1" x14ac:dyDescent="0.25">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ht="15.75" hidden="1" x14ac:dyDescent="0.25">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ht="15.75" x14ac:dyDescent="0.25">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ht="15.75" x14ac:dyDescent="0.25">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ht="15.75" x14ac:dyDescent="0.25">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ht="15.75" x14ac:dyDescent="0.25">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ht="15.75" x14ac:dyDescent="0.25">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ht="15.75" x14ac:dyDescent="0.25">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ht="15.75" x14ac:dyDescent="0.25">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ht="15.75" x14ac:dyDescent="0.25">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ht="15.75" x14ac:dyDescent="0.25">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ht="15.75" x14ac:dyDescent="0.25">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ht="15.75" x14ac:dyDescent="0.25">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ht="15.75" x14ac:dyDescent="0.25">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ht="15.75" x14ac:dyDescent="0.25">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ht="15.75" x14ac:dyDescent="0.25">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ht="15.75" x14ac:dyDescent="0.25">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ht="15.75" x14ac:dyDescent="0.25">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ht="15.75" x14ac:dyDescent="0.25">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ht="15.75" x14ac:dyDescent="0.25">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ht="15.75" x14ac:dyDescent="0.25">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ht="15.75" x14ac:dyDescent="0.25">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ht="15.75" x14ac:dyDescent="0.25">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ht="15.75" x14ac:dyDescent="0.25">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ht="15.75" x14ac:dyDescent="0.25">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ht="15.75" x14ac:dyDescent="0.25">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ht="15.75" x14ac:dyDescent="0.25">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ht="15.75" hidden="1" x14ac:dyDescent="0.25">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ht="15.75" hidden="1" x14ac:dyDescent="0.25">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ht="15.75" hidden="1" x14ac:dyDescent="0.25">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ht="15.75" hidden="1" x14ac:dyDescent="0.25">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ht="15.75" hidden="1" x14ac:dyDescent="0.25">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ht="15.75" hidden="1" x14ac:dyDescent="0.25">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ht="15.75" hidden="1" x14ac:dyDescent="0.25">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ht="15.75" hidden="1" x14ac:dyDescent="0.25">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ht="15.75" x14ac:dyDescent="0.25">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ht="15.75" x14ac:dyDescent="0.25">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ht="15.75" x14ac:dyDescent="0.25">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ht="15.75" x14ac:dyDescent="0.25">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ht="15.75" x14ac:dyDescent="0.25">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ht="15.75" x14ac:dyDescent="0.25">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ht="15.75" x14ac:dyDescent="0.25">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ht="15.75" x14ac:dyDescent="0.25">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ht="15.75" x14ac:dyDescent="0.25">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ht="15.75" x14ac:dyDescent="0.25">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ht="15.75" x14ac:dyDescent="0.25">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ht="15.75" x14ac:dyDescent="0.25">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ht="15.75" x14ac:dyDescent="0.25">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ht="15.75" x14ac:dyDescent="0.25">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ht="15.75" x14ac:dyDescent="0.25">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ht="15.75" x14ac:dyDescent="0.25">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ht="15.75" hidden="1" x14ac:dyDescent="0.25">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ht="15.75" hidden="1" x14ac:dyDescent="0.25">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ht="15.75" x14ac:dyDescent="0.25">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ht="15.75" hidden="1" x14ac:dyDescent="0.25">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ht="15.75" hidden="1" x14ac:dyDescent="0.25">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ht="15.75" hidden="1" x14ac:dyDescent="0.25">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ht="15.75" x14ac:dyDescent="0.25">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ht="15.75" x14ac:dyDescent="0.25">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ht="15.75" x14ac:dyDescent="0.25">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ht="15.75" x14ac:dyDescent="0.25">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ht="15.75" x14ac:dyDescent="0.25">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BE5A-604C-4AE3-B57B-71648FEC7851}">
  <dimension ref="A3:F8"/>
  <sheetViews>
    <sheetView workbookViewId="0">
      <selection activeCell="F15" sqref="F15"/>
    </sheetView>
  </sheetViews>
  <sheetFormatPr defaultRowHeight="15.75" x14ac:dyDescent="0.25"/>
  <cols>
    <col min="1" max="1" width="22.125" bestFit="1" customWidth="1"/>
    <col min="3" max="4" width="21.75" bestFit="1" customWidth="1"/>
    <col min="5" max="5" width="13.375" bestFit="1" customWidth="1"/>
    <col min="6" max="6" width="13.875" bestFit="1" customWidth="1"/>
  </cols>
  <sheetData>
    <row r="3" spans="1:6" x14ac:dyDescent="0.25">
      <c r="A3" s="4" t="s">
        <v>1555</v>
      </c>
      <c r="C3" s="4" t="s">
        <v>1554</v>
      </c>
      <c r="D3" s="4" t="s">
        <v>1554</v>
      </c>
      <c r="E3" s="4" t="s">
        <v>1556</v>
      </c>
    </row>
    <row r="4" spans="1:6" x14ac:dyDescent="0.25">
      <c r="A4" s="5">
        <v>1470</v>
      </c>
      <c r="C4" s="5">
        <v>237</v>
      </c>
      <c r="D4" s="5">
        <v>237</v>
      </c>
      <c r="E4" s="5">
        <v>36.923809523809524</v>
      </c>
    </row>
    <row r="7" spans="1:6" x14ac:dyDescent="0.25">
      <c r="A7" t="s">
        <v>1555</v>
      </c>
      <c r="C7" t="s">
        <v>1557</v>
      </c>
      <c r="D7" t="s">
        <v>1556</v>
      </c>
      <c r="E7" s="6" t="s">
        <v>1558</v>
      </c>
      <c r="F7" s="6" t="s">
        <v>1559</v>
      </c>
    </row>
    <row r="8" spans="1:6" x14ac:dyDescent="0.25">
      <c r="A8">
        <f>GETPIVOTDATA("emp no",$A$3)</f>
        <v>1470</v>
      </c>
      <c r="C8">
        <f>GETPIVOTDATA("CF_attrition count",$C$3)</f>
        <v>237</v>
      </c>
      <c r="D8" s="10">
        <f>GETPIVOTDATA("Age",$E$3)</f>
        <v>36.923809523809524</v>
      </c>
      <c r="E8">
        <f>A8-C8</f>
        <v>1233</v>
      </c>
      <c r="F8" s="7">
        <f>C8/A8</f>
        <v>0.16122448979591836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E3F6-D335-4747-B991-F323327DD6EA}">
  <dimension ref="A3:C7"/>
  <sheetViews>
    <sheetView workbookViewId="0">
      <selection activeCell="C7" sqref="C7"/>
    </sheetView>
  </sheetViews>
  <sheetFormatPr defaultRowHeight="15.75" x14ac:dyDescent="0.25"/>
  <cols>
    <col min="1" max="1" width="23.125" bestFit="1" customWidth="1"/>
  </cols>
  <sheetData>
    <row r="3" spans="1:3" x14ac:dyDescent="0.25">
      <c r="A3" s="4" t="s">
        <v>1560</v>
      </c>
    </row>
    <row r="4" spans="1:3" x14ac:dyDescent="0.25">
      <c r="A4" s="12">
        <v>2.6265306122448981</v>
      </c>
    </row>
    <row r="6" spans="1:3" x14ac:dyDescent="0.25">
      <c r="A6" s="6" t="s">
        <v>1561</v>
      </c>
      <c r="B6" s="9">
        <f>GETPIVOTDATA("Job Satisfaction",$A$3)</f>
        <v>2.6265306122448981</v>
      </c>
      <c r="C6">
        <f>B6/4</f>
        <v>0.65663265306122454</v>
      </c>
    </row>
    <row r="7" spans="1:3" x14ac:dyDescent="0.25">
      <c r="A7" s="6" t="s">
        <v>1562</v>
      </c>
      <c r="B7" s="9">
        <f>4-B6</f>
        <v>1.3734693877551019</v>
      </c>
      <c r="C7">
        <f>B7/4</f>
        <v>0.34336734693877546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74C3-733A-425D-A6B7-AC26FD696367}">
  <dimension ref="A3:B9"/>
  <sheetViews>
    <sheetView workbookViewId="0">
      <selection activeCell="B4" sqref="B4"/>
    </sheetView>
  </sheetViews>
  <sheetFormatPr defaultRowHeight="15.75" x14ac:dyDescent="0.25"/>
  <cols>
    <col min="1" max="1" width="12.125" bestFit="1" customWidth="1"/>
    <col min="2" max="2" width="22.625" bestFit="1" customWidth="1"/>
    <col min="3" max="3" width="10" bestFit="1" customWidth="1"/>
  </cols>
  <sheetData>
    <row r="3" spans="1:2" x14ac:dyDescent="0.25">
      <c r="A3" s="13" t="s">
        <v>1563</v>
      </c>
      <c r="B3" s="4" t="s">
        <v>1566</v>
      </c>
    </row>
    <row r="4" spans="1:2" x14ac:dyDescent="0.25">
      <c r="A4" s="14" t="s">
        <v>69</v>
      </c>
      <c r="B4" s="15">
        <v>112</v>
      </c>
    </row>
    <row r="5" spans="1:2" x14ac:dyDescent="0.25">
      <c r="A5" s="16" t="s">
        <v>46</v>
      </c>
      <c r="B5" s="17">
        <v>51</v>
      </c>
    </row>
    <row r="6" spans="1:2" x14ac:dyDescent="0.25">
      <c r="A6" s="16" t="s">
        <v>92</v>
      </c>
      <c r="B6" s="17">
        <v>38</v>
      </c>
    </row>
    <row r="7" spans="1:2" x14ac:dyDescent="0.25">
      <c r="A7" s="16" t="s">
        <v>58</v>
      </c>
      <c r="B7" s="17">
        <v>25</v>
      </c>
    </row>
    <row r="8" spans="1:2" x14ac:dyDescent="0.25">
      <c r="A8" s="16" t="s">
        <v>75</v>
      </c>
      <c r="B8" s="17">
        <v>11</v>
      </c>
    </row>
    <row r="9" spans="1:2" x14ac:dyDescent="0.25">
      <c r="A9" s="18" t="s">
        <v>1564</v>
      </c>
      <c r="B9" s="5">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FDE2-3A42-4FE5-B515-D30ECBD5EEDD}">
  <dimension ref="A3:C9"/>
  <sheetViews>
    <sheetView workbookViewId="0">
      <selection activeCell="I20" sqref="I20"/>
    </sheetView>
  </sheetViews>
  <sheetFormatPr defaultRowHeight="15.75" x14ac:dyDescent="0.25"/>
  <cols>
    <col min="1" max="1" width="12.125" bestFit="1" customWidth="1"/>
    <col min="2" max="2" width="20.25" bestFit="1" customWidth="1"/>
  </cols>
  <sheetData>
    <row r="3" spans="1:3" x14ac:dyDescent="0.25">
      <c r="A3" s="13" t="s">
        <v>1563</v>
      </c>
      <c r="B3" s="4" t="s">
        <v>1565</v>
      </c>
    </row>
    <row r="4" spans="1:3" x14ac:dyDescent="0.25">
      <c r="A4" s="14" t="s">
        <v>51</v>
      </c>
      <c r="B4" s="15">
        <v>588</v>
      </c>
    </row>
    <row r="5" spans="1:3" x14ac:dyDescent="0.25">
      <c r="A5" s="16" t="s">
        <v>62</v>
      </c>
      <c r="B5" s="17">
        <v>882</v>
      </c>
    </row>
    <row r="6" spans="1:3" x14ac:dyDescent="0.25">
      <c r="A6" s="18" t="s">
        <v>1564</v>
      </c>
      <c r="B6" s="5">
        <v>1470</v>
      </c>
    </row>
    <row r="8" spans="1:3" x14ac:dyDescent="0.25">
      <c r="A8" s="19" t="s">
        <v>51</v>
      </c>
      <c r="B8" s="6">
        <f>IFERROR(GETPIVOTDATA("Employee Count",$A$3,"Gender","Female"),0)</f>
        <v>588</v>
      </c>
      <c r="C8" s="7">
        <f>IFERROR(B8/($B$8+$B$9),)</f>
        <v>0.4</v>
      </c>
    </row>
    <row r="9" spans="1:3" x14ac:dyDescent="0.25">
      <c r="A9" s="19" t="s">
        <v>62</v>
      </c>
      <c r="B9" s="6">
        <f>IFERROR(GETPIVOTDATA("Employee Count",$A$3,"Gender","Male"),0)</f>
        <v>882</v>
      </c>
      <c r="C9" s="7">
        <f>IFERROR(B9/($B$8+$B$9),)</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B680-16D0-4986-BEBC-6038BD50D37D}">
  <dimension ref="A3:B9"/>
  <sheetViews>
    <sheetView workbookViewId="0">
      <selection activeCell="N16" sqref="N16"/>
    </sheetView>
  </sheetViews>
  <sheetFormatPr defaultRowHeight="15.75" x14ac:dyDescent="0.25"/>
  <cols>
    <col min="1" max="1" width="16.125" bestFit="1" customWidth="1"/>
    <col min="2" max="2" width="21.75" bestFit="1" customWidth="1"/>
    <col min="3" max="3" width="22.625" bestFit="1" customWidth="1"/>
  </cols>
  <sheetData>
    <row r="3" spans="1:2" x14ac:dyDescent="0.25">
      <c r="A3" s="13" t="s">
        <v>1563</v>
      </c>
      <c r="B3" s="4" t="s">
        <v>1554</v>
      </c>
    </row>
    <row r="4" spans="1:2" x14ac:dyDescent="0.25">
      <c r="A4" s="14" t="s">
        <v>134</v>
      </c>
      <c r="B4" s="15">
        <v>5</v>
      </c>
    </row>
    <row r="5" spans="1:2" x14ac:dyDescent="0.25">
      <c r="A5" s="16" t="s">
        <v>65</v>
      </c>
      <c r="B5" s="17">
        <v>31</v>
      </c>
    </row>
    <row r="6" spans="1:2" x14ac:dyDescent="0.25">
      <c r="A6" s="16" t="s">
        <v>55</v>
      </c>
      <c r="B6" s="17">
        <v>44</v>
      </c>
    </row>
    <row r="7" spans="1:2" x14ac:dyDescent="0.25">
      <c r="A7" s="16" t="s">
        <v>71</v>
      </c>
      <c r="B7" s="17">
        <v>58</v>
      </c>
    </row>
    <row r="8" spans="1:2" x14ac:dyDescent="0.25">
      <c r="A8" s="16" t="s">
        <v>77</v>
      </c>
      <c r="B8" s="17">
        <v>99</v>
      </c>
    </row>
    <row r="9" spans="1:2" x14ac:dyDescent="0.25">
      <c r="A9" s="18" t="s">
        <v>1564</v>
      </c>
      <c r="B9" s="5">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6" sqref="F6"/>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topLeftCell="A2" zoomScale="69" zoomScaleNormal="69" workbookViewId="0">
      <selection activeCell="AA24" sqref="AA24"/>
    </sheetView>
  </sheetViews>
  <sheetFormatPr defaultColWidth="11.25" defaultRowHeight="15" customHeight="1" x14ac:dyDescent="0.25"/>
  <cols>
    <col min="1" max="26" width="8.5" style="11" customWidth="1"/>
    <col min="27" max="16384" width="11.25" style="11"/>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Job by Attrition</vt:lpstr>
      <vt:lpstr>Department wise Attrition</vt:lpstr>
      <vt:lpstr>Sheet1</vt:lpstr>
      <vt:lpstr>marital Attrition</vt:lpstr>
      <vt:lpstr>Data</vt:lpstr>
      <vt:lpstr>KPI</vt:lpstr>
      <vt:lpstr>Rating</vt:lpstr>
      <vt:lpstr>Age Wise Attrition</vt:lpstr>
      <vt:lpstr>Gender</vt:lpstr>
      <vt:lpstr>education by Attrition</vt:lpstr>
      <vt:lpstr>Images</vt: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sai</cp:lastModifiedBy>
  <dcterms:created xsi:type="dcterms:W3CDTF">2022-12-29T16:02:46Z</dcterms:created>
  <dcterms:modified xsi:type="dcterms:W3CDTF">2025-12-12T05:58:36Z</dcterms:modified>
</cp:coreProperties>
</file>